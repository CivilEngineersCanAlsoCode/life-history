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rive.aexp.com/personal/priya_bhanot_aexp_com/Documents/CRR DAM integration/"/>
    </mc:Choice>
  </mc:AlternateContent>
  <xr:revisionPtr revIDLastSave="1" documentId="8_{74517A2D-6659-4661-8378-73C82C50091A}" xr6:coauthVersionLast="47" xr6:coauthVersionMax="47" xr10:uidLastSave="{D1F62682-E720-4C72-96CC-90F4C4DA8855}"/>
  <bookViews>
    <workbookView xWindow="-110" yWindow="-110" windowWidth="19420" windowHeight="11620" activeTab="2" xr2:uid="{CC08994A-527E-4847-9C69-26DB1792A0A9}"/>
  </bookViews>
  <sheets>
    <sheet name="CRR - Consumer and SBS" sheetId="6" r:id="rId1"/>
    <sheet name="Standardization Variables" sheetId="8" r:id="rId2"/>
    <sheet name="DAM Sample Values" sheetId="7" r:id="rId3"/>
  </sheets>
  <definedNames>
    <definedName name="_xlnm._FilterDatabase" localSheetId="0" hidden="1">'CRR - Consumer and SBS'!$B$8:$L$83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7" i="7" l="1"/>
  <c r="AN8" i="7"/>
  <c r="AU8" i="7"/>
  <c r="AN9" i="7"/>
  <c r="AU9" i="7"/>
  <c r="AN10" i="7"/>
  <c r="AU10" i="7"/>
  <c r="AN11" i="7"/>
  <c r="AU11" i="7"/>
  <c r="AN12" i="7"/>
  <c r="AU12" i="7"/>
  <c r="AN13" i="7"/>
  <c r="AU13" i="7"/>
  <c r="AN14" i="7"/>
  <c r="AU14" i="7"/>
  <c r="AN15" i="7"/>
  <c r="AU15" i="7"/>
  <c r="AN16" i="7"/>
  <c r="AU16" i="7"/>
  <c r="AN17" i="7"/>
  <c r="AU17" i="7"/>
  <c r="AN18" i="7"/>
  <c r="AU18" i="7"/>
  <c r="AN19" i="7"/>
  <c r="AU19" i="7"/>
  <c r="AN20" i="7"/>
  <c r="AU20" i="7"/>
  <c r="AN21" i="7"/>
  <c r="AU21" i="7"/>
  <c r="AN22" i="7"/>
  <c r="AU22" i="7"/>
  <c r="AN23" i="7"/>
  <c r="AU23" i="7"/>
  <c r="AN24" i="7"/>
  <c r="AU24" i="7"/>
  <c r="AN25" i="7"/>
  <c r="AU25" i="7"/>
  <c r="AN26" i="7"/>
  <c r="AU26" i="7"/>
  <c r="AN27" i="7"/>
  <c r="AU27" i="7"/>
  <c r="AN28" i="7"/>
  <c r="AU28" i="7"/>
  <c r="AN29" i="7"/>
  <c r="AU29" i="7"/>
  <c r="AN30" i="7"/>
  <c r="AU30" i="7"/>
  <c r="AN31" i="7"/>
  <c r="AU31" i="7"/>
  <c r="AN32" i="7"/>
  <c r="AU32" i="7"/>
  <c r="AN33" i="7"/>
  <c r="AU33" i="7"/>
  <c r="AN34" i="7"/>
  <c r="AU34" i="7"/>
  <c r="AN35" i="7"/>
  <c r="AU35" i="7"/>
  <c r="AN36" i="7"/>
  <c r="AU36" i="7"/>
  <c r="AN37" i="7"/>
  <c r="AU37" i="7"/>
  <c r="AN38" i="7"/>
  <c r="AU38" i="7"/>
  <c r="AN39" i="7"/>
  <c r="AU39" i="7"/>
  <c r="AN40" i="7"/>
  <c r="AU40" i="7"/>
  <c r="AN41" i="7"/>
  <c r="AU41" i="7"/>
  <c r="AN42" i="7"/>
  <c r="AU42" i="7"/>
  <c r="AN43" i="7"/>
  <c r="AU43" i="7"/>
  <c r="AN44" i="7"/>
  <c r="AU44" i="7"/>
  <c r="AN45" i="7"/>
  <c r="AU45" i="7"/>
  <c r="AN46" i="7"/>
  <c r="AU46" i="7"/>
  <c r="AN47" i="7"/>
  <c r="AU47" i="7"/>
  <c r="AN48" i="7"/>
  <c r="AU48" i="7"/>
  <c r="AN49" i="7"/>
  <c r="AU49" i="7"/>
  <c r="AN50" i="7"/>
  <c r="AU50" i="7"/>
  <c r="AN51" i="7"/>
  <c r="AU51" i="7"/>
  <c r="AN52" i="7"/>
  <c r="AU52" i="7"/>
  <c r="AN53" i="7"/>
  <c r="AU53" i="7"/>
  <c r="AN54" i="7"/>
  <c r="AU54" i="7"/>
  <c r="AN55" i="7"/>
  <c r="AU55" i="7"/>
  <c r="AN56" i="7"/>
  <c r="AU56" i="7"/>
  <c r="AN57" i="7"/>
  <c r="AU57" i="7"/>
  <c r="AN58" i="7"/>
  <c r="AU58" i="7"/>
  <c r="AN59" i="7"/>
  <c r="AU59" i="7"/>
  <c r="AN60" i="7"/>
  <c r="AU60" i="7"/>
  <c r="AN61" i="7"/>
  <c r="AU61" i="7"/>
  <c r="AN62" i="7"/>
  <c r="AU62" i="7"/>
  <c r="AN63" i="7"/>
  <c r="AU63" i="7"/>
  <c r="AN64" i="7"/>
  <c r="AU64" i="7"/>
  <c r="AN65" i="7"/>
  <c r="AU65" i="7"/>
  <c r="AN66" i="7"/>
  <c r="AU66" i="7"/>
  <c r="AN67" i="7"/>
  <c r="AU67" i="7"/>
  <c r="AN68" i="7"/>
  <c r="AU68" i="7"/>
  <c r="AN69" i="7"/>
  <c r="AU69" i="7"/>
  <c r="AN70" i="7"/>
  <c r="AU70" i="7"/>
  <c r="AN71" i="7"/>
  <c r="AU71" i="7"/>
  <c r="AN72" i="7"/>
  <c r="AU72" i="7"/>
  <c r="AN73" i="7"/>
  <c r="AU73" i="7"/>
  <c r="AN74" i="7"/>
  <c r="AU74" i="7"/>
  <c r="AN75" i="7"/>
  <c r="AU75" i="7"/>
  <c r="AN76" i="7"/>
  <c r="AU76" i="7"/>
  <c r="AN77" i="7"/>
  <c r="AU77" i="7"/>
  <c r="AN78" i="7"/>
  <c r="AU78" i="7"/>
  <c r="AN79" i="7"/>
  <c r="AU79" i="7"/>
  <c r="AN80" i="7"/>
  <c r="AU80" i="7"/>
  <c r="AN81" i="7"/>
  <c r="AU81" i="7"/>
  <c r="AN82" i="7"/>
  <c r="AU82" i="7"/>
  <c r="AN83" i="7"/>
  <c r="AU83" i="7"/>
  <c r="AN84" i="7"/>
  <c r="AU84" i="7"/>
  <c r="AN85" i="7"/>
  <c r="AU85" i="7"/>
  <c r="AN86" i="7"/>
  <c r="AU86" i="7"/>
  <c r="AN87" i="7"/>
  <c r="AU87" i="7"/>
  <c r="AN88" i="7"/>
  <c r="AU88" i="7"/>
  <c r="AN89" i="7"/>
  <c r="AU89" i="7"/>
  <c r="AN90" i="7"/>
  <c r="AU90" i="7"/>
  <c r="AN91" i="7"/>
  <c r="AU91" i="7"/>
  <c r="AN92" i="7"/>
  <c r="AU92" i="7"/>
  <c r="AN93" i="7"/>
  <c r="AU93" i="7"/>
  <c r="AN94" i="7"/>
  <c r="AU94" i="7"/>
  <c r="AN95" i="7"/>
  <c r="AU95" i="7"/>
  <c r="AN96" i="7"/>
  <c r="AU96" i="7"/>
  <c r="AN97" i="7"/>
  <c r="AU97" i="7"/>
  <c r="AN98" i="7"/>
  <c r="AU98" i="7"/>
  <c r="AN99" i="7"/>
  <c r="AU99" i="7"/>
  <c r="AN100" i="7"/>
  <c r="AU100" i="7"/>
  <c r="AN101" i="7"/>
  <c r="AU101" i="7"/>
  <c r="AN102" i="7"/>
  <c r="AU102" i="7"/>
</calcChain>
</file>

<file path=xl/sharedStrings.xml><?xml version="1.0" encoding="utf-8"?>
<sst xmlns="http://schemas.openxmlformats.org/spreadsheetml/2006/main" count="2409" uniqueCount="1049">
  <si>
    <t>Columns provided by CRR Team</t>
  </si>
  <si>
    <t>Columns provided by DMO Team for sign-off</t>
  </si>
  <si>
    <t>Base Table</t>
  </si>
  <si>
    <r>
      <rPr>
        <b/>
        <u/>
        <sz val="11"/>
        <color rgb="FF000000"/>
        <rFont val="Calibri"/>
        <family val="2"/>
      </rPr>
      <t>Source</t>
    </r>
    <r>
      <rPr>
        <sz val="11"/>
        <color rgb="FF000000"/>
        <rFont val="Calibri"/>
        <family val="2"/>
      </rPr>
      <t xml:space="preserve">: grc_card_demographic 
</t>
    </r>
    <r>
      <rPr>
        <b/>
        <u/>
        <sz val="11"/>
        <color rgb="FF000000"/>
        <rFont val="Calibri"/>
        <family val="2"/>
      </rPr>
      <t>Filter Condition:</t>
    </r>
    <r>
      <rPr>
        <b/>
        <sz val="11"/>
        <color rgb="FF000000"/>
        <rFont val="Calibri"/>
        <family val="2"/>
      </rPr>
      <t xml:space="preserve">  </t>
    </r>
    <r>
      <rPr>
        <u/>
        <sz val="11"/>
        <color rgb="FF000000"/>
        <rFont val="Calibri"/>
        <family val="2"/>
      </rPr>
      <t>accountBusinessUnit in ("S", "O")</t>
    </r>
  </si>
  <si>
    <t>Data Point Name</t>
  </si>
  <si>
    <t>CRR Variable Name</t>
  </si>
  <si>
    <t>Will be derived on CRR Rule Engine?</t>
  </si>
  <si>
    <t>DMO Defined Block</t>
  </si>
  <si>
    <t>DAM SOR table name</t>
  </si>
  <si>
    <t>DAM SOR variable name</t>
  </si>
  <si>
    <t>Market(US/ Intl/ Global)</t>
  </si>
  <si>
    <t>Portfolio</t>
  </si>
  <si>
    <t>Level</t>
  </si>
  <si>
    <t xml:space="preserve">DAM Logic Algorithm </t>
  </si>
  <si>
    <t xml:space="preserve">Comments </t>
  </si>
  <si>
    <t>Occupation Status</t>
  </si>
  <si>
    <t>emply_type_cd</t>
  </si>
  <si>
    <t>No</t>
  </si>
  <si>
    <t>Demographics</t>
  </si>
  <si>
    <t>cust360_entity_demographics;
cust360_customer_demographics;
risk_new_acct</t>
  </si>
  <si>
    <t>emply_prim_sta;
emply_sta;
na_emp_self_ind</t>
  </si>
  <si>
    <t>Global</t>
  </si>
  <si>
    <t>Consumer/SBS</t>
  </si>
  <si>
    <t>Customer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</si>
  <si>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coalesce(b.emply_prim_sta, c.emply_sta, d.na_emp_self_ind)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</si>
  <si>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Occupation Description</t>
  </si>
  <si>
    <t>occpt_ds</t>
  </si>
  <si>
    <t>emply_prim_occpt_ds;
emplr_occpt;
na_prim_job_ttl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</si>
  <si>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coalesce(b.emply_prim_occpt_ds, c.emplr_occpt, d.na_prim_job_ttl)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</si>
  <si>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Occupation Name</t>
  </si>
  <si>
    <t>emply_job_class_nm</t>
  </si>
  <si>
    <t>emply_prim_ttl;
emplr_job_ttl;
na_prim_job_ttl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</si>
  <si>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coalesce(b.emply_prim_ttl, c.emplr_job_ttl, d.na_prim_job_ttl)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 d
  on base.cust_id = cast(d.na_cust_xref_id as int64)
  and base.cm11 = d.na_cm11
  and base.cm13 = d.na_cm13
  and base.cm15 = d.na_cm15</t>
  </si>
  <si>
    <t>TOG</t>
  </si>
  <si>
    <t>top_of_grp_in</t>
  </si>
  <si>
    <t>Account Primary Details</t>
  </si>
  <si>
    <t>cust360_customer_demographics;
risk_new_acct</t>
  </si>
  <si>
    <t>rel_type;
na_supp_no (if 0 -&gt; Y or else N)</t>
  </si>
  <si>
    <t>Account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</si>
  <si>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 as cm11, base.cm13 as cm13, base.cm15 as cm15, base.cust_id as cust_id, base.rel_id as rel_id, base.rel_type as rel_type,
      case when c.rel_type = 'BASIC' then 'Y'
      when c.rel_type != 'BASIC' and c.rel_type is not null then 'N'
      when c.rel_type is null and na_supp_no = 0 then 'Y'
      else 'N'
end as TOG
from prj-p-gfccodl.data.grc_card_demographic base
left join axp-lumi.dw.cust360_customer_demographics c
  on base.cust_id = c.cust_id
  and base.cm11 = c.cm11
  and base.cm13 = c.cm13
  and base.cm15 = c.cm15
  and base.rel_id = c.rel_id
  and base.rel_type = c.rel_type
left join rna_cte  d
  on base.cust_id = cast(d.na_cust_xref_id as int64)
  and base.cm11 = d.na_cm11
  and base.cm13 = d.na_cm13
  and base.cm15 = d.na_cm15</t>
  </si>
  <si>
    <t>Occupation Code</t>
  </si>
  <si>
    <t>emply_job_class_cd</t>
  </si>
  <si>
    <t>emply_prim_occpt_cd;
occpt_cd;
na_occpt_cd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</si>
  <si>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coalesce(b.emply_prim_occpt_cd, c.occpt_cd, d.na_occpt_cd)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</si>
  <si>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Income Type</t>
  </si>
  <si>
    <t>incom_type_cd</t>
  </si>
  <si>
    <t>cust360_entity_demographics;
cust360_customer_demographics;
iabr_income_current</t>
  </si>
  <si>
    <t xml:space="preserve">cust360_entity_demographics: WHEN annual_incom_tot_am is not NULL THEN "Total Annual Income" WHEN annual_incom_tot_am is NULL THEN annual_incom_other | Extract "typ" -&gt; JSON Key;
cust360_customer_demographics: WHEN annual_incom_tot_am is not NULL THEN "Total Annual Income" WHEN annual_incom_tot_am is NULL THEN extnl_srce_vrfy_incom | Extract "typ" -&gt; JSON Key;
iabr_income_current: Hardcoded as TAI
</t>
  </si>
  <si>
    <r>
      <rPr>
        <sz val="11"/>
        <color rgb="FF000000"/>
        <rFont val="Calibri"/>
      </rPr>
      <t xml:space="preserve">For cust360_entity_demographics (Priority 1):
CASE WHEN annual_incom_tot_am is NOT NULL THEN "Total Annual Income"
ELSE Extract "type" (JSON Key) from annual_incom_other (JSON Key Column) END AS income_type
For cust360_customer_demographics (Priority 2):
WHEN annual_incom_tot_am is NOT NULL THEN "Total Annual Income"
ELSE Extract "type" (JSON Key) from extnl_srce_vrfy_incom (JSON Key Column) END AS income_type
For iabr_income_current (Priority 3):
Hardcoded as TAI
</t>
    </r>
    <r>
      <rPr>
        <u/>
        <sz val="11"/>
        <color rgb="FF000000"/>
        <rFont val="Calibri"/>
      </rPr>
      <t xml:space="preserve">Joining query of SOR tables with Base table:
</t>
    </r>
    <r>
      <rPr>
        <sz val="11"/>
        <color rgb="FF000000"/>
        <rFont val="Calibri"/>
      </rPr>
      <t>select base.cm11, base.cm13, base.cm15, base.cust_id, base.rel_id, base.rel_type, coalesce(b.income_type, c.income_type)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left join axp-lumi.dw.iabr_income_current e
ON base.cust_id = e.cust_xref_id
  and base.cm11 = e.cm11
  and base.cm15 = e.cm15</t>
    </r>
  </si>
  <si>
    <t>Occupation Industry Type Code</t>
  </si>
  <si>
    <t>cpli_indus_type_cd</t>
  </si>
  <si>
    <t>emply_prim_emplr_sctr_act_ds;
emplr_indus_ds;
 na_indus_cd</t>
  </si>
  <si>
    <t xml:space="preserve">1. "employer_industry" should be leveraged from 3 specific tables, based on following priority:
Priority 1: cust360_entity_demographics (Variable name: emply_prim_emplr_sctr_act_ds )
Priority 2: cust360_customer_demographics (Variable name: emplr_indus_ds )
Priority 3: risk_new_acct (Variable name: na_indus_cd)
(Note: If "employer_industry" is not avaliable in priority 1 table then it should find it in priority 2 table and so on) </t>
  </si>
  <si>
    <t>Center as secondary data point</t>
  </si>
  <si>
    <t>cpli_ctr_cd</t>
  </si>
  <si>
    <t>mkt_alpha_cd_no;
rgn_mkt_alpha_cd;
na_mkt_cd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</si>
  <si>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
      coalesce(b.mkt_alpha_cd_no, c.rgn_mkt_alpha_cd, d.na_mkt_cd)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</si>
  <si>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Product type As Secondary Data Point</t>
  </si>
  <si>
    <t>cpli_prod_type_cd</t>
  </si>
  <si>
    <t>bus_unit_cd;
na_line_of_bus_cd;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</si>
  <si>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
      coalesce( (case when upper(c.bus_unit_cd) = "S" THEN "CONSUMER"
                      when bus_unit_cd = "O" THEN "SBS" end), d.na_line_of_bus_cd ) as secondary_data_point
from prj-p-gfccodl.data.grc_card_demographic base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</si>
  <si>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Income type code</t>
  </si>
  <si>
    <t>cpli_incom_srce_cd</t>
  </si>
  <si>
    <t>cust360_entity_demographics;
cust360_customer_demographics;
iabr_income_current;
risk_new_acct</t>
  </si>
  <si>
    <t>annual_incom_tot_srce_fund;
annual_incom_tot_srce;
tot_annual_incom_srce;
na_prim_incom_srce</t>
  </si>
  <si>
    <t>WITH
  rna_cte AS (
  SELECT
    * EXCEPT(row_num)
  FROM (
    SELECT
      na_cm11,
      na_cm13,
      na_cm15 AS cm15,
      na_cust_xref_id AS cust_id,
      na_prim_incom_srce_cd,
      CASE
        WHEN (SUBSTRING(`axp-lumi`.dw.decrypt_sde('NGBD-SDE-CM15', na_cm15),13,2))='00' THEN 'BASIC'
        ELSE 'SUPP'
    END
      AS rel_type,
      '' AS rel_id,
      na_pcn_no AS pcn_no,
      na_appl_rcv_dt AS appl_rcv_dt,
      na_dcsn_cd AS dcsn_cd,
      na_dcsn_rsn_cd AS dcsn_rsn_cd,
      na_final_dt AS final_dt,
      ROW_NUMBER() OVER (PARTITION BY na_cm15 ORDER BY na_final_dt DESC, na_final_tm DESC, na_appl_upd_dt_tm DESC, na_prcs_ts DESC, na_pcn_no DESC, na_supp_no ASC) AS row_num
    FROM
      `axp-lumi.dw.risk_new_acct`
    WHERE
      na_appl_status = 'A')
  WHERE
    row_num=1
    AND pcn_no IS NOT NULL
    AND pcn_no != '' )
select base.cm11, base.cm13, base.cm15, base.cust_id, base.rel_id, base.rel_type,
coalesce(b.annual_incom_tot_srce_fund, c.annual_incom_tot_srce, e.tot_annual_incom, cast(d.na_prim_incom_srce_cd as string)) as income_type_cd
from prj-p-gfccodl.data.grc_card_demographic base
left join axp-lumi.dw.cust360_entity_demographics b
  on coalesce(base.cust_id, 0) = coalesce(b.cust_id, 0)
left join axp-lumi.dw.cust360_customer_demographics c
  on coalesce(cast(base.cust_id as string), '0') = coalesce(cast(c.cust_id as string), '0')
  and coalesce(base.cm11, '0') = coalesce(c.cm11, '0')
  and coalesce(base.cm13, '0') = coalesce(c.cm13, '0')
  and coalesce(base.cm15, '0') = coalesce(c.cm15, '0')
  and coalesce(base.rel_id, '0') = coalesce(c.rel_id, '0')
  and coalesce(base.rel_type, '0') = coalesce(c.rel_type, '0')
left join axp-lumi.dw.iabr_income_current e
ON coalesce(cast(base.cust_id as string), '0') = coalesce(cast(e.cust_xref_id as string), '0')
  and coalesce(base.cm11, '0') = coalesce(e.cm11, '0')
  and coalesce(base.cm15, '0') = coalesce(e.cm15, '0')
left join rna_cte d
  ON base.cm15=CAST(d.cm15 AS STRING)
  AND ((CAST(base.cust_id AS STRING)=d.cust_id)
    OR (base.cust_id IS NULL
      AND d.cust_id IS NULL))
  AND ((base.rel_type = d.rel_type)
    OR (base.rel_type IS NULL
      AND d.rel_type IS NULL))
  AND d.rel_id = ''
Please Note: We need the risk_new_acct values to be populated in the form of JSON key value pair, wherein the key will be src_cd and value will be the value in that for the 'na_prim_incom_srce' column.</t>
  </si>
  <si>
    <t>Party's Address Postal Code</t>
  </si>
  <si>
    <t>pstl_cd_tx</t>
  </si>
  <si>
    <t>Home:
cust360_entity_demographics: reside_ad_pstl_cd (Priority 1)
cust360_customer_demographics: ad_home_pstl_cd  (Priority 2)
risk_new_acct: na_home_pstl_cd (Priority 3)
Business:  
cust360_customer_demographics:ad_bus_pstl_cd
Alternate :
 cust360_customer_demographics: ad_alt_pstl_cd (Priority 1)
 risk_new_acct: na_alt1_pstl_cd (Priority 2)
Employer:
cust360_customer_demographics: ad_emplr_pstl_cd (Priority 1)
risk_new_acct: na_emply_pstl_cd (Priority 2)
Temporary:  
cust360_customer_demographics: ad_temp_pstl_cd
Other :  
cust360_customer_demographics: ad_other_pstl_cd</t>
  </si>
  <si>
    <t xml:space="preserve">postal code should be derived from 'cust360_entity_demographics' , 'cust360_customer_demographics' &amp; 'risk_new_acct' tables based on following priority:
Home:
           cust360_entity_demographics- reside_ad_pstl_cd (Priority 1)
           cust360_customer_demographics- ad_home_pstl_cd  (Priority 2)
           risk_new_acct- na_home_pstl_cd (Priority 3)
Business :   cust360_customer_demographics: ad_bus_pstl_cd
Alternate :
           cust360_customer_demographics- ad_alt_pstl_cd (Priority 1)
            risk_new_acct-na_alt1_pstl_cd (Priority 2)
Employer:
cust360_customer_demographics (Variable name: ad_emplr_pstl_cd) (Priority 1)
risk_new_acct (Variable name: na_emply_pstl_cd) (Priority 2)
Temporary:  cust360_customer_demographics- ad_temp_pstl_cd
Other :  cust360_customer_demographics-ad_other_pstl_cd
Note- Joining Conditions:  All the tables mentioned can be joined with each other using Customer ID (cust_id/na_cust_xref_id)
    </t>
  </si>
  <si>
    <t>Party's Address Country for Postal Code/Region Code</t>
  </si>
  <si>
    <t>iso_ctry_cd</t>
  </si>
  <si>
    <t>Home:
cust360_entity_demographics: reside_ad_ctry_cd (Priority 1)
cust360_customer_demographics: ad_home_ctry_cd (Priority 2)
risk_new_acct (Variable name: na_bill_home_ctry_cd) (Priority 3)
Business : 
cust360_customer_demographics: ad_bus_ctry_cd
Alternate:
cust360_customer_demographics- ad_alt_ctry_cd (Priority 1)
risk_new_acct: na_alt1_ctry_nm (Priority 2)
Employer:
cust360_customer_demographics: ad_emplr_ctry_cd (Priority 1)
risk_new_acct: na_emplr_ctry_cd (Priority 2)
Temporary: 
cust360_customer_demographics:ad_temp_ctry_cd
Other: 
cust360_customer_demographics: ad_other_ctry_cd</t>
  </si>
  <si>
    <t xml:space="preserve"> "Country" should be directly leveraged from 'cust360_entity_demographics ' &amp;'cust360_customer_demographics' only.
Home country code:
           cust360_entity_demographics -reside_ad_ctry_cd (Priority 1)
           cust360_customer_demographics - ad_home_ctry_cd (Priority 2)
Business country code: cust360_customer_demographics-ad_bus_ctry_cd
Alternate country code:cust360_customer_demographics- ad_alt_ctry_cd
Employer:
cust360_customer_demographics (Variable name: ad_emplr_ctry_cd) (Priority 1)
risk_new_acct (Variable name: na_emplr_ctry_cd) (Priority 2)
Temporary country code: cust360_customer_demographics-ad_temp_ctry_cd
Other country code: cust360_customer_demographics-ad_other_ctry_cd</t>
  </si>
  <si>
    <t>Party's Address Region</t>
  </si>
  <si>
    <t>rgn_area_cd</t>
  </si>
  <si>
    <t>Home:
cust360_entity_demographics: reside_ad_state_cd (Priority 1)
cust360_customer_demographics:ad_home_state (Priority 2)
risk_new_acct: na_home_state_cd (Priority 3)
Business:  
cust360_customer_demographics: ad_bus_state
Alternate :
 cust360_customer_demographics: ad_alt_state (Priority 1)
 risk_new_acct: na_alt_state_cd (Priority 2)
Employer:
cust360_customer_demographics: ad_emplr_state (Priority 1)
risk_new_acct: na_emplr_state_cd (Priority 2)
Temporary:  
cust360_customer_demographics: ad_temp_state
Other :  
cust360_customer_demographics: ad_other_prcs_state</t>
  </si>
  <si>
    <t xml:space="preserve">state name should be derived from 'cust360_entity_demographics' , 'cust360_customer_demographics' &amp; 'risk_new_acct' tables based on following priority:
Home:
           cust360_entity_demographics- reside_ad_state_cd (Priority 1)
           cust360_customer_demographics- ad_home_state  (Priority 2)
           risk_new_acct- na_home_state_cd (Priority 3)
Business :   cust360_customer_demographics: ad_bus_state
Alternate :
           cust360_customer_demographics- ad_alt_state (Priority 1)
            risk_new_acct-na_alt_state_cd (Priority 2)
Employer:
cust360_customer_demographics (Variable name: ad_emplr_state) (Priority 1)
risk_new_acct (Variable name: na_emplr_state_cd) (Priority 2)
Temporary:  cust360_customer_demographics- ad_temp_state
Other :  cust360_customer_demographics-ad_other_state
Note- Joining Conditions:  All the tables mentioned can be joined with each other using Customer ID (cust_id/na_cust_xref_id)
    </t>
  </si>
  <si>
    <t>Party's Industry Code</t>
  </si>
  <si>
    <t>cpli_indus_cd</t>
  </si>
  <si>
    <t>emply_prim_emplr_sctr_act_cd;
emplr_indus_cd;
na_indus_cd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</si>
  <si>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coalesce(b.emply_prim_emplr_sctr_act_cd, c.emplr_indus_cd, d.na_indus_cd)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</si>
  <si>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Party's Industry Type</t>
  </si>
  <si>
    <t>emply_prim_emplr_sctr_act_ds;
emplr_indus_ds;
na_indus_type</t>
  </si>
  <si>
    <t>Party's Country Nationality</t>
  </si>
  <si>
    <t>cpli_ctry_cd</t>
  </si>
  <si>
    <t>nat_prim_ds_nm;
prim_nat;
na_appl_nat_cd</t>
  </si>
  <si>
    <t>with rna_cte as
(
  select * from
  (
    select *,rank() over (partition by na_cm15 order by na_final_dt desc, na_appl_upd_dt_tm desc, na_final_tm desc, na_prcs_ts desc, na_pcn_no desc, na_supp_no asc)
    as rnk
    from `axp-lumi.dw.risk_new_acct`
    where na_appl_status = "A"
  )
  where rnk=1
)
select base.cm11, base.cm13, base.cm15, base.cust_id, base.rel_id, base.rel_type,
      coalesce(b.nat_prim_ds_nm, c.prim_nat, d.na_appl_nat_cd)
from prj-p-gfccodl.data.grc_card_demographic base
left join axp-lumi.dw.cust360_entity_demographics b
  on base.cust_id = b.cust_id
left join axp-lumi.dw.cust360_customer_demographics c
  on base.cust_id = c.cust_id
  and base.cm11 = c.cm11
  and base.cm13 = c.cm13
  and base.cm15 = c.cm15
  and base.rel_id = c.rel_id
  and base.rel_type = c.rel_type
  left join rna_cte d
  on base.cust_id = cast(d.na_cust_xref_id as int64)
  and base.cm11 = d.na_cm11
  and base.cm13 = d.na_cm13
  and base.cm15 = d.na_cm15</t>
  </si>
  <si>
    <t>Party's Address Usage</t>
  </si>
  <si>
    <t>ad_usage_type_cd</t>
  </si>
  <si>
    <t>cust360_entity_demographics (For Home address only);
cust360_customer_demographics (For Home/Business/Alternate/Temporary/Other  Address);
risk_new_acct (For  Home/Alternate Address)</t>
  </si>
  <si>
    <t>address type' will be hardcoded manually to distinguish between types of addresses.
Sample:
'HOME' as address_type for home street line1/2/3/4.
'BUSINESS' as address_type for business street line1/2/3/4.
'ALTERNATE' as address_type for alternate street line1/2/3/4.
'TEMPORARY' as address_type for temporary street line1/2/3/4.
'OTHER' as address_type for other street line1/2/3/4.</t>
  </si>
  <si>
    <t>Party's Address Country</t>
  </si>
  <si>
    <t>Party Role</t>
  </si>
  <si>
    <t>acct_pty_role_cd</t>
  </si>
  <si>
    <t>cust360_customer_demographics</t>
  </si>
  <si>
    <t>rel_type</t>
  </si>
  <si>
    <t>select base.cm11, base.cm13, base.cm15, base.cust_id, base.rel_id, base.rel_type,
       c.rel_type
from prj-p-gfccodl.data.grc_card_demographic base
left join axp-lumi.dw.cust360_customer_demographics c
  on base.cust_id = c.cust_id
  and base.cm11 = c.cm11
  and base.cm13 = c.cm13
  and base.cm15 = c.cm15
  and base.rel_id = c.rel_id
  and base.rel_type = c.rel_type</t>
  </si>
  <si>
    <t>Application's Channel</t>
  </si>
  <si>
    <t>cpli_chan_id</t>
  </si>
  <si>
    <t>Application</t>
  </si>
  <si>
    <t>risk_new_acct</t>
  </si>
  <si>
    <t>na_chan_ds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</si>
  <si>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 d.na_chan_ds
from prj-p-gfccodl.data.grc_card_demographic base
  left join rna_cte  d
  on base.cm11 = d.na_cm11
  and base.cm13 = d.na_cm13
  and base.cm15 = d.na_cm15</t>
  </si>
  <si>
    <t>Product Type</t>
  </si>
  <si>
    <t>bus_unit_cd;
na_line_of_bus_cd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</si>
  <si>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
      coalesce( (case when upper(c.bus_unit_cd) = "S" THEN "CONSUMER"
                      when bus_unit_cd = "O" THEN "SBS" end), d.na_line_of_bus_cd )
from prj-p-gfccodl.data.grc_card_demographic base
left join axp-lumi.dw.cust360_customer_demographics c
  on base.cust_id = c.cust_id
  and base.cm11 = c.cm11
  and base.cm13 = c.cm13
  and base.cm15 = c.cm15
  and base.rel_id = c.rel_id
  and base.rel_type = c.rel_type
  left join rna_cte  d
  on base.cust_id = cast(d.na_cust_xref_id as int64)
  and base.cm11 = d.na_cm11
  and base.cm13 = d.na_cm13
  and base.cm15 = d.na_cm15</t>
  </si>
  <si>
    <t>Center Code</t>
  </si>
  <si>
    <t>mkt_alpha_cd_no; 
rgn_mkt_alpha_cd;
na_mkt_cd</t>
  </si>
  <si>
    <t>Account's Market/Country</t>
  </si>
  <si>
    <t>na</t>
  </si>
  <si>
    <t>SIP Risk Score</t>
  </si>
  <si>
    <t>sip_risk_score_no</t>
  </si>
  <si>
    <t>PEP</t>
  </si>
  <si>
    <t>cadence_sip_dtl_report</t>
  </si>
  <si>
    <t>SELECT a.sip_risk_score_no as sip_risk_score_no, b.cm11,b.cm13, b.cm15,b.cust_id,b.rel_type,b.rel_id
FROM common.grc_consumer_base b
left join axp-lumi.dw.cadence_sip_dtl_report a
on `axp-lumi`.dw.decrypt_sde('NGBD-SDE-Account-Identifier-Info', acct_id) = `axp-lumi`.dw.decrypt_sde('NGBD-SDE-CM13', b.cm13 )
and (b.rel_type = 'BASIC' OR b.rel_type = 'SUPP')</t>
  </si>
  <si>
    <t>SIP Present</t>
  </si>
  <si>
    <t>sip_status</t>
  </si>
  <si>
    <t>sip_type_cd</t>
  </si>
  <si>
    <t>SELECT a.sip_type_cd as sip_type_cd, b.cm11,b.cm13, b.cm15,b.cust_id,b.rel_type,b.rel_id
FROM common.grc_consumer_base b
left join axp-lumi.dw.cadence_sip_dtl_report a
on `axp-lumi`.dw.decrypt_sde('NGBD-SDE-Account-Identifier-Info', acct_id) = `axp-lumi`.dw.decrypt_sde('NGBD-SDE-CM13', b.cm13 )
and (b.rel_type = 'BASIC' OR b.rel_type = 'SUPP')</t>
  </si>
  <si>
    <t>PEP Risk Score</t>
  </si>
  <si>
    <t>pep_risk_score_no</t>
  </si>
  <si>
    <t>cadence_pep_customer;
cadence_pep_no_customer</t>
  </si>
  <si>
    <t>pep_risk_score_no;
pep_risk_score_no</t>
  </si>
  <si>
    <t>SELECT a.pep_risk_score_no as pep_score, b.cm11,b.cm13, b.cm15,b.cust_id,b.rel_type,b.rel_id
FROM common.grc_consumer_base b
left join axp-lumi.dw.cadence_pep_customer a
on `axp-lumi`.dw.decrypt_sde('NGBD-SDE-Account-Identifier-Info', acct_id) = `axp-lumi`.dw.decrypt_sde('NGBD-SDE-CM13', b.cm13 )
union all
select a.pep_risk_score_no as pep_score, b.cm11,b.cm13,b.cm15, b.cust_id,b.rel_type,b.rel_id
from common.grc_consumer_base b
left join  `axp-lumi`.dw.cadence_pep_no_customer a
on `axp-lumi`.dw.decrypt_sde('NGBD-SDE-CM13', b.cm13 ) = `axp-lumi`.dw.decrypt_sde('NGBD-SDE-Account-Identifier-Info', a.acct_id) and (
        (b.rel_type = 'BASIC' AND a.acct_pep_assoc_type_cd = 'AH') 
        OR (b.rel_type = 'SUPP' AND a.acct_pep_assoc_type_cd = 'AH') 
        OR (b.rel_type = 'PRI' AND a.acct_pep_assoc_type_cd = 'AH') 
        OR (b.rel_type = 'AAM' AND a.acct_pep_assoc_type_cd = 'AAM') 
        OR (b.rel_type = 'BO' AND a.acct_pep_assoc_type_cd = 'BO') 
        OR (b.rel_type = 'PARTNER' AND a.acct_pep_assoc_type_cd = 'P2') 
        OR (b.rel_type = 'PARTNER' AND a.acct_pep_assoc_type_cd = 'P3') 
        OR (b.rel_type = 'LEGAL_REP' AND a.acct_pep_assoc_type_cd = 'LR'));</t>
  </si>
  <si>
    <t>PEP Foreign</t>
  </si>
  <si>
    <t>frgn_pep_in</t>
  </si>
  <si>
    <t>frgn_pep_in;
frgn_pep_in</t>
  </si>
  <si>
    <t>SELECT a.frgn_pep_in as frgn_pep_in, b.cm11,b.cm13, b.cm15,b.cust_id,b.rel_type,b.rel_id
FROM common.grc_consumer_base b
left join axp-lumi.dw.cadence_pep_customer a
on `axp-lumi`.dw.decrypt_sde('NGBD-SDE-Account-Identifier-Info', acct_id) = `axp-lumi`.dw.decrypt_sde('NGBD-SDE-CM13', b.cm13 )
union all
select a.frgn_pep_in as frgn_pep_in, b.cm11,b.cm13,b.cm15, b.cust_id,b.rel_type,b.rel_id
from common.grc_consumer_base b
left join  `axp-lumi`.dw.cadence_pep_no_customer a
on `axp-lumi`.dw.decrypt_sde('NGBD-SDE-CM13', b.cm13 ) = `axp-lumi`.dw.decrypt_sde('NGBD-SDE-Account-Identifier-Info', a.acct_id) and (
        (b.rel_type = 'BASIC' AND a.acct_pep_assoc_type_cd = 'AH') 
        OR (b.rel_type = 'SUPP' AND a.acct_pep_assoc_type_cd = 'AH') 
        OR (b.rel_type = 'PRI' AND a.acct_pep_assoc_type_cd = 'AH') 
        OR (b.rel_type = 'AAM' AND a.acct_pep_assoc_type_cd = 'AAM') 
        OR (b.rel_type = 'BO' AND a.acct_pep_assoc_type_cd = 'BO') 
        OR (b.rel_type = 'PARTNER' AND a.acct_pep_assoc_type_cd = 'P2') 
        OR (b.rel_type = 'PARTNER' AND a.acct_pep_assoc_type_cd = 'P3') 
        OR (b.rel_type = 'LEGAL_REP' AND a.acct_pep_assoc_type_cd = 'LR'))</t>
  </si>
  <si>
    <t>PEP Present</t>
  </si>
  <si>
    <t>pep_status</t>
  </si>
  <si>
    <t>pep_risk_score_ctgy;
pep_risk_score_ctgy</t>
  </si>
  <si>
    <t>SELECT a.pep_risk_score_ctgy as pep_status, b.cm11,b.cm13, b.cm15,.cust_id,b.rel_type,b.rel_id
FROM common.grc_consumer_base b
left join axp-lumi.dw.cadence_pep_customer a
on `axp-lumi`.dw.decrypt_sde('NGBD-SDE-Account-Identifier-Info', acct_id) = `axp-lumi`.dw.decrypt_sde('NGBD-SDE-CM13', b.cm13 )
union all
select a.pep_risk_score_ctgy as pep_status, b.cm11,b.cm13,b.cm15, b.cust_id,b.rel_type,b.rel_id
from common.grc_consumer_base b
left join  `axp-lumi`.dw.cadence_pep_no_customer a
on `axp-lumi`.dw.decrypt_sde('NGBD-SDE-CM13', b.cm13 ) = `axp-lumi`.dw.decrypt_sde('NGBD-SDE-Account-Identifier-Info', a.acct_id) and (
        (b.rel_type = 'BASIC' AND a.acct_pep_assoc_type_cd = 'AH') 
        OR (b.rel_type = 'SUPP' AND a.acct_pep_assoc_type_cd = 'AH') 
        OR (b.rel_type = 'PRI' AND a.acct_pep_assoc_type_cd = 'AH') 
        OR (b.rel_type = 'AAM' AND a.acct_pep_assoc_type_cd = 'AAM') 
        OR (b.rel_type = 'BO' AND a.acct_pep_assoc_type_cd = 'BO') 
        OR (b.rel_type = 'PARTNER' AND a.acct_pep_assoc_type_cd = 'P2') 
        OR (b.rel_type = 'PARTNER' AND a.acct_pep_assoc_type_cd = 'P3') 
        OR (b.rel_type = 'LEGAL_REP' AND a.acct_pep_assoc_type_cd = 'LR'))</t>
  </si>
  <si>
    <t>Party's Structure/Party Type</t>
  </si>
  <si>
    <t>cpli_pty_type_cd</t>
  </si>
  <si>
    <t>cust360_commercial;
risk_new_acct</t>
  </si>
  <si>
    <t>co_lgl_strct;
na_corp_str_typ_cd</t>
  </si>
  <si>
    <t>Entity</t>
  </si>
  <si>
    <t>with rna_cte as 
(
  select * from
  (
    select *,rank() over (partition by na_cm15 order by na_final_dt desc, na_appl_upd_dt_tm desc, na_final_tm desc, na_prcs_ts desc, na_pcn_no desc, na_supp_no asc) 
    as rnk
    from `axp-lumi.dw.risk_new_acct`
    where na_appl_status = "A"
  )
  where rnk=1
)
select base.cm11, base.cm13, base.cm15, base.cust_id, base.rel_id, base.rel_type,
      coalesce(c.co_lgl_strct, d.na_corp_str_typ_cd)
from prj-p-au-grc-anlytx.rgupt333.grc_consumer_base_rupika base
left join 
(
  select substr(`axp-lumi`.dw.decrypt_sde(`axp-lumi`.dw.get_sde_tag('cm15','cust360_commercial'),cm15),1,11)||substr(`axp-lumi`.dw.decrypt_sde(`axp-lumi`.dw.get_sde_tag('cm15','cust360_commercial'),cm15),13,2) as cm13, `axp-lumi`.dw.decrypt_sde(`axp-lumi`.dw.get_sde_tag('cm15','cust360_commercial'),cm15) as cm15,
  `axp-lumi`.dw.decrypt_sde(`axp-lumi`.dw.get_sde_tag('cm11','cust360_commercial'),cm11) as cm11, rel_id, co_lgl_strct
from `axp-lumi`.dw.cust360_commercial
) c
on base.cm11 = c.cm11
  and base.cm13 = c.cm13
  and base.cm15 = c.cm15
left join rna_cte d
  on base.cust_id = cast(d.na_cust_xref_id as int64)
  and base.cm11 = d.na_cm11
  and base.cm13 = d.na_cm13
  and base.cm15 = d.na_cm15</t>
  </si>
  <si>
    <t>Party Date Type</t>
  </si>
  <si>
    <t>dt_type_cd</t>
  </si>
  <si>
    <t>cust360_commercial</t>
  </si>
  <si>
    <t>regis_dt</t>
  </si>
  <si>
    <t>select base.cm11, base.cm13, base.cm15, base.cust_id, base.rel_id, base.rel_type, c.regis_dt
from prj-p-gfccodl.data.grc_card_demographic base
left join
(
  select substr(`axp-lumi`.dw.decrypt_sde(`axp-lumi`.dw.get_sde_tag('cm15','cust360_commercial'),cm15),1,11)||substr(`axp-lumi`.dw.decrypt_sde(`axp-lumi`.dw.get_sde_tag('cm15','cust360_commercial'),cm15),13,2) as cm13, `axp-lumi`.dw.decrypt_sde(`axp-lumi`.dw.get_sde_tag('cm15','cust360_commercial'),cm15) as cm15,
  `axp-lumi`.dw.decrypt_sde(`axp-lumi`.dw.get_sde_tag('cm11','cust360_commercial'),cm11) as cm11, rel_id, regis_dt
from `axp-lumi`.dw.cust360_commercial
) c
on base.cm11 = c.cm11
  and base.cm13 = c.cm13
  and base.cm15 = c.cm15</t>
  </si>
  <si>
    <t>Data is currently unavailable in the SOR - cust360 table. Data will be available by June, 2025 as communicated by the SOR team.</t>
  </si>
  <si>
    <t>Party's Address Purpose</t>
  </si>
  <si>
    <t>ad_prps_cd</t>
  </si>
  <si>
    <t>ad_bill_in, ad_plstc_dlvr_in, ad_ltr_in</t>
  </si>
  <si>
    <t>select base.cm11 as cm11, base.cm13 as cm13, base.cm15 as cm15, base.cust_id as cust_id, base.rel_id as rel_id, base.rel_type as rel_type,
    case when (ad_bill_in = 'HOME' and ad_plstc_dlvr_in = 'HOME' and ad_ltr_in = 'HOME') then 'BL, PL, LT'
    when (ad_bill_in != 'HOME' and ad_plstc_dlvr_in != 'HOME' and ad_ltr_in!= 'HOME') then 'AP'
    when ad_bill_in = 'HOME' then 'BL'
    when ad_plstc_dlvr_in = 'HOME' then 'PL'
    when ad_ltr_in= 'HOME' then  'LT'
    end as ad_pstl_prps_cd
from prj-p-gfccodl.data.grc_card_demographic base
left join axp-lumi.dw.cust360_customer_demographics c
  on base.cust_id = c.cust_id
  and base.cm11 = c.cm11
  and base.cm13 = c.cm13
  and base.cm15 = c.cm15
  and base.rel_id = c.rel_id
  and base.rel_type = c.rel_type</t>
  </si>
  <si>
    <t>Transaction Type</t>
  </si>
  <si>
    <t>trans_type_cd</t>
  </si>
  <si>
    <t>Transaction</t>
  </si>
  <si>
    <t>wwcas_authorization;
emm_pymt;
emm_aml_all_payment;
cas_payments_intl;
gms_transaction</t>
  </si>
  <si>
    <t>"ATM"
type_cd
pymt_type_cd
pymt_type_cd
se_cr_dr_in</t>
  </si>
  <si>
    <t>Transaction Origin Country</t>
  </si>
  <si>
    <t>atm_country;
lob_id;
mkt_cd, pymt_ctry_cd;
ctry_cd;
se_subm_ctry_cd;</t>
  </si>
  <si>
    <t>Transaction Country</t>
  </si>
  <si>
    <t>Transaction Count</t>
  </si>
  <si>
    <t>tot_cnt</t>
  </si>
  <si>
    <t>Transaction Amount</t>
  </si>
  <si>
    <t>tot_amt</t>
  </si>
  <si>
    <t>Party ADD Char</t>
  </si>
  <si>
    <t>pty_add_char_cd</t>
  </si>
  <si>
    <t>Not Required</t>
  </si>
  <si>
    <t xml:space="preserve">Not required in DAM for CRR Consumer and SBS.. Confirmed by CRR PO (Tahcin) on 4-Mar. </t>
  </si>
  <si>
    <t>Account ADD Char</t>
  </si>
  <si>
    <t>add_char_cd</t>
  </si>
  <si>
    <t>Parent Party Type</t>
  </si>
  <si>
    <t>parnt_cpli_pty_type_cd</t>
  </si>
  <si>
    <t>Alert Type</t>
  </si>
  <si>
    <t>alert_type</t>
  </si>
  <si>
    <t>Transaction Country Count</t>
  </si>
  <si>
    <t>Yes</t>
  </si>
  <si>
    <t>Not required in DAM. Confirmed by CRR PO (Tahcin) on 3-Mar.</t>
  </si>
  <si>
    <t>Foreign indicator</t>
  </si>
  <si>
    <t>foreign_ind</t>
  </si>
  <si>
    <t>Lookback Month</t>
  </si>
  <si>
    <t>trans_age</t>
  </si>
  <si>
    <t>Alert Count</t>
  </si>
  <si>
    <t>alert_count</t>
  </si>
  <si>
    <t>Alert Age</t>
  </si>
  <si>
    <t>alert_age</t>
  </si>
  <si>
    <t>Transaction Credit List</t>
  </si>
  <si>
    <t>Transaction All List</t>
  </si>
  <si>
    <t>Domestic Nationality</t>
  </si>
  <si>
    <t>domestic_nat</t>
  </si>
  <si>
    <t>Not required in DAM. Confirmed by CRR PO (Tahcin) on 24-Feb.</t>
  </si>
  <si>
    <t>Party Age</t>
  </si>
  <si>
    <t>pty_age</t>
  </si>
  <si>
    <t>Number of Account to Customer</t>
  </si>
  <si>
    <t>Number of Supp</t>
  </si>
  <si>
    <t>supp_count</t>
  </si>
  <si>
    <t>Length of Relationship</t>
  </si>
  <si>
    <t>acct_age</t>
  </si>
  <si>
    <t>Party's Address Usage for Addr Age</t>
  </si>
  <si>
    <t>Party Address Age</t>
  </si>
  <si>
    <t>party_address_age</t>
  </si>
  <si>
    <t>Party's Address Purpose for Addr Age</t>
  </si>
  <si>
    <t>Cross Border Trans Count</t>
  </si>
  <si>
    <t>Not required in DAM. Confirmed by CRR DI (Nishant) on 5-Feb.</t>
  </si>
  <si>
    <t>Cross Border Trans Country Count</t>
  </si>
  <si>
    <t>tot_ctry_cnt</t>
  </si>
  <si>
    <t>Cross Border Trans Amount</t>
  </si>
  <si>
    <t>Transaction Count Ratio</t>
  </si>
  <si>
    <t>trans_count_ratio</t>
  </si>
  <si>
    <t>Transaction Amount Ratio</t>
  </si>
  <si>
    <t>trans_amount_ratio</t>
  </si>
  <si>
    <t>Income Ratio</t>
  </si>
  <si>
    <t>income_ratio</t>
  </si>
  <si>
    <t>Jurisdiction Occupation Code</t>
  </si>
  <si>
    <t>Not required in DAM. Confirmed by CRR Business (Tommy) on 5-Feb.</t>
  </si>
  <si>
    <t>Jurisdiction Industry Type</t>
  </si>
  <si>
    <t>Bank Account Count</t>
  </si>
  <si>
    <t>bank_acct_cnt</t>
  </si>
  <si>
    <t>Bank Account Age</t>
  </si>
  <si>
    <t>bank_account_age</t>
  </si>
  <si>
    <t>Jurisdiction Industry Code</t>
  </si>
  <si>
    <t>Jurisdiction Geography</t>
  </si>
  <si>
    <t>Bank Account Role</t>
  </si>
  <si>
    <t>acct_bank_acct_role_cd</t>
  </si>
  <si>
    <t>Jurisdiction Product</t>
  </si>
  <si>
    <t>Not required in DAM. Confirmed by CRR Business (Tommy) on 27-Jan.</t>
  </si>
  <si>
    <t>Jurisdiction Structure</t>
  </si>
  <si>
    <t>Jurisdiction Channel</t>
  </si>
  <si>
    <t>ADDITIONAL RISK FACTOR 300</t>
  </si>
  <si>
    <t>risk_ovrrd_type_cd</t>
  </si>
  <si>
    <t>Not required in DAM. Confirmed by CRR Business (Jacob) on 28-Jan.</t>
  </si>
  <si>
    <t>ADDITIONAL RISK FACTOR 200</t>
  </si>
  <si>
    <t>ADDITIONAL RISK FACTOR 100</t>
  </si>
  <si>
    <t>High Risk Override</t>
  </si>
  <si>
    <t>CRR Data Point</t>
  </si>
  <si>
    <t>SOR table name</t>
  </si>
  <si>
    <t>SOR variable name</t>
  </si>
  <si>
    <t>Standardization Required?</t>
  </si>
  <si>
    <t>Standardization Reference SOR</t>
  </si>
  <si>
    <t>Standardization SOR Variable</t>
  </si>
  <si>
    <t> </t>
  </si>
  <si>
    <t>bus_unit_cd</t>
  </si>
  <si>
    <t>Home:
cust360_entity_demographics: reside_ad_ctry_cd (Priority 1)
cust360_customer_demographics: ad_home_ctry_cd (Priority 2)
risk_new_acct (Variable name: na_bill_home_ctry_cd) (Priority 3)
Business :
cust360_customer_demographics: ad_bus_ctry_cd
Alternate:
cust360_customer_demographics- ad_alt_ctry_cd (Priority 1)
risk_new_acct: na_alt1_ctry_nm (Priority 2)
Employer:
cust360_customer_demographics: ad_emplr_ctry_cd (Priority 1)
risk_new_acct: na_emplr_ctry_cd (Priority 2)
Temporary:
cust360_customer_demographics:ad_temp_ctry_cd
Other:
cust360_customer_demographics: ad_other_ctry_cd</t>
  </si>
  <si>
    <t>crt_country</t>
  </si>
  <si>
    <t>iso_2_pos_cd</t>
  </si>
  <si>
    <t>Lookback Month (Transaction Date)</t>
  </si>
  <si>
    <t>XF</t>
  </si>
  <si>
    <t>Unemployed</t>
  </si>
  <si>
    <t>finance director</t>
  </si>
  <si>
    <t>Y</t>
  </si>
  <si>
    <t>MG</t>
  </si>
  <si>
    <t>HOME</t>
  </si>
  <si>
    <t>Total Annual Income</t>
  </si>
  <si>
    <t>FINANCE_AND_BANKING</t>
  </si>
  <si>
    <t>BE</t>
  </si>
  <si>
    <t>Consumer</t>
  </si>
  <si>
    <t>Regular Taxed Income</t>
  </si>
  <si>
    <t>SE9 5PB</t>
  </si>
  <si>
    <t>CI</t>
  </si>
  <si>
    <t>MAL</t>
  </si>
  <si>
    <t>PQ</t>
  </si>
  <si>
    <t>P (partership)</t>
  </si>
  <si>
    <t>JNT</t>
  </si>
  <si>
    <t>INBOUND TELEMARKETING</t>
  </si>
  <si>
    <t>CONSUMER</t>
  </si>
  <si>
    <t>PE</t>
  </si>
  <si>
    <t>ATM</t>
  </si>
  <si>
    <t>CR</t>
  </si>
  <si>
    <t>I</t>
  </si>
  <si>
    <t>H</t>
  </si>
  <si>
    <t>RR</t>
  </si>
  <si>
    <t>Former craftsman, trader, entrepreneur</t>
  </si>
  <si>
    <t>Partner</t>
  </si>
  <si>
    <t>N</t>
  </si>
  <si>
    <t>VM</t>
  </si>
  <si>
    <t>BUSINESS</t>
  </si>
  <si>
    <t>Regular</t>
  </si>
  <si>
    <t>Export/Import/Distribution</t>
  </si>
  <si>
    <t>CH</t>
  </si>
  <si>
    <t>Open/SBS</t>
  </si>
  <si>
    <t>Regular Other Income</t>
  </si>
  <si>
    <t>CZ</t>
  </si>
  <si>
    <t>SOR</t>
  </si>
  <si>
    <t>AP</t>
  </si>
  <si>
    <t>S (sole proprietorship)</t>
  </si>
  <si>
    <t>LEGAL_REP</t>
  </si>
  <si>
    <t>Alternate Vehicle</t>
  </si>
  <si>
    <t>OPEN/SBS</t>
  </si>
  <si>
    <t>DK</t>
  </si>
  <si>
    <t>PAY-ACH</t>
  </si>
  <si>
    <t>CY</t>
  </si>
  <si>
    <t>U</t>
  </si>
  <si>
    <t>M</t>
  </si>
  <si>
    <t>PT</t>
  </si>
  <si>
    <t>Financial Advisor/ Insurance Agent / Financial Agent</t>
  </si>
  <si>
    <t>SOFTWARE DEVELOPER</t>
  </si>
  <si>
    <t>BA</t>
  </si>
  <si>
    <t>TEMPORARY</t>
  </si>
  <si>
    <t>Other</t>
  </si>
  <si>
    <t>BN</t>
  </si>
  <si>
    <t>Financially Independent</t>
  </si>
  <si>
    <t>LY</t>
  </si>
  <si>
    <t>LUG</t>
  </si>
  <si>
    <t>JE</t>
  </si>
  <si>
    <t>I (Incorporated)</t>
  </si>
  <si>
    <t>PARTNER</t>
  </si>
  <si>
    <t>Employee Application</t>
  </si>
  <si>
    <t>NZ</t>
  </si>
  <si>
    <t>PAY-CHK</t>
  </si>
  <si>
    <t>LU</t>
  </si>
  <si>
    <t>E</t>
  </si>
  <si>
    <t>L</t>
  </si>
  <si>
    <t>UI</t>
  </si>
  <si>
    <t>Developer</t>
  </si>
  <si>
    <t>CEO</t>
  </si>
  <si>
    <t>ALTERNATE</t>
  </si>
  <si>
    <t>Retiree</t>
  </si>
  <si>
    <t>IT</t>
  </si>
  <si>
    <t>Wealth Inheritance Savings</t>
  </si>
  <si>
    <t>MK43 9QS</t>
  </si>
  <si>
    <t>AT</t>
  </si>
  <si>
    <t>RIO</t>
  </si>
  <si>
    <t>TI</t>
  </si>
  <si>
    <t>BO</t>
  </si>
  <si>
    <t>Employee App</t>
  </si>
  <si>
    <t>IN</t>
  </si>
  <si>
    <t>PAY-CSH</t>
  </si>
  <si>
    <t>AM</t>
  </si>
  <si>
    <t>RT</t>
  </si>
  <si>
    <t>Company administrative employee</t>
  </si>
  <si>
    <t>Application Engineer</t>
  </si>
  <si>
    <t>PL</t>
  </si>
  <si>
    <t>EMPLOYER</t>
  </si>
  <si>
    <t>FN</t>
  </si>
  <si>
    <t>GE</t>
  </si>
  <si>
    <t>Company Expenses</t>
  </si>
  <si>
    <t>TC</t>
  </si>
  <si>
    <t>BOG</t>
  </si>
  <si>
    <t>RE</t>
  </si>
  <si>
    <t>PRI</t>
  </si>
  <si>
    <t>DIR SALES</t>
  </si>
  <si>
    <t>ET</t>
  </si>
  <si>
    <t>PAY-OTH</t>
  </si>
  <si>
    <t>AR</t>
  </si>
  <si>
    <t>ST</t>
  </si>
  <si>
    <t>Accountant</t>
  </si>
  <si>
    <t>Director</t>
  </si>
  <si>
    <t>PP</t>
  </si>
  <si>
    <t>OTHER</t>
  </si>
  <si>
    <t>COMMERCIAL_AND_PROFESSIONAL_SERVICES</t>
  </si>
  <si>
    <t>LA</t>
  </si>
  <si>
    <t>DJ</t>
  </si>
  <si>
    <t>ETC</t>
  </si>
  <si>
    <t>SEC</t>
  </si>
  <si>
    <t>INTERACTIVE SERVICES</t>
  </si>
  <si>
    <t>PAY-WIR</t>
  </si>
  <si>
    <t>BU</t>
  </si>
  <si>
    <t>HD</t>
  </si>
  <si>
    <t>Driver</t>
  </si>
  <si>
    <t>behavior therapist</t>
  </si>
  <si>
    <t>BB</t>
  </si>
  <si>
    <t>FOOD_SERVICES</t>
  </si>
  <si>
    <t>VE</t>
  </si>
  <si>
    <t>4891SE</t>
  </si>
  <si>
    <t>MU</t>
  </si>
  <si>
    <t>A</t>
  </si>
  <si>
    <t>OG</t>
  </si>
  <si>
    <t>AO</t>
  </si>
  <si>
    <t>DIRECT MAIL</t>
  </si>
  <si>
    <t>RET</t>
  </si>
  <si>
    <t>PH</t>
  </si>
  <si>
    <t>Artisan</t>
  </si>
  <si>
    <t>MANAGMENT</t>
  </si>
  <si>
    <t>RW</t>
  </si>
  <si>
    <t>REAL_ESTATE</t>
  </si>
  <si>
    <t>GD</t>
  </si>
  <si>
    <t>UG</t>
  </si>
  <si>
    <t>AY</t>
  </si>
  <si>
    <t>BASIC</t>
  </si>
  <si>
    <t>Default</t>
  </si>
  <si>
    <t>KY</t>
  </si>
  <si>
    <t>PUR</t>
  </si>
  <si>
    <t>ID</t>
  </si>
  <si>
    <t>Lawyer</t>
  </si>
  <si>
    <t>EMT</t>
  </si>
  <si>
    <t>AG</t>
  </si>
  <si>
    <t>ARTS_AND_ENTERTAINMENT_AND_RECREATION</t>
  </si>
  <si>
    <t>UA</t>
  </si>
  <si>
    <t>BR1 4HE</t>
  </si>
  <si>
    <t>GW</t>
  </si>
  <si>
    <t>TT</t>
  </si>
  <si>
    <t>ASSOC</t>
  </si>
  <si>
    <t>Enquiry</t>
  </si>
  <si>
    <t>FT</t>
  </si>
  <si>
    <t>Real Estate Agent/ Mortgage Broker</t>
  </si>
  <si>
    <t>MIDN</t>
  </si>
  <si>
    <t>CL</t>
  </si>
  <si>
    <t>Religious</t>
  </si>
  <si>
    <t>HK</t>
  </si>
  <si>
    <t>S66 1DP</t>
  </si>
  <si>
    <t>PW</t>
  </si>
  <si>
    <t>BEL</t>
  </si>
  <si>
    <t>CP</t>
  </si>
  <si>
    <t>ACA</t>
  </si>
  <si>
    <t>Unaddressed</t>
  </si>
  <si>
    <t>BD</t>
  </si>
  <si>
    <t>Agent/Broker</t>
  </si>
  <si>
    <t>Research Assistant</t>
  </si>
  <si>
    <t>NV</t>
  </si>
  <si>
    <t>Manufacturing</t>
  </si>
  <si>
    <t>GH</t>
  </si>
  <si>
    <t>B30 1EE</t>
  </si>
  <si>
    <t>FI</t>
  </si>
  <si>
    <t>WW</t>
  </si>
  <si>
    <t>WM</t>
  </si>
  <si>
    <t>AUTHZR</t>
  </si>
  <si>
    <t>Bank</t>
  </si>
  <si>
    <t>PR</t>
  </si>
  <si>
    <t>Administrative intermediary profession of the public service</t>
  </si>
  <si>
    <t>Account Supervisor</t>
  </si>
  <si>
    <t>CA</t>
  </si>
  <si>
    <t>Education</t>
  </si>
  <si>
    <t>SR</t>
  </si>
  <si>
    <t>GY1 2BH</t>
  </si>
  <si>
    <t>SV</t>
  </si>
  <si>
    <t xml:space="preserve">S </t>
  </si>
  <si>
    <t>PY</t>
  </si>
  <si>
    <t>GUARNT</t>
  </si>
  <si>
    <t>TAKE ONE</t>
  </si>
  <si>
    <t>Commercial employee</t>
  </si>
  <si>
    <t>POOL CONTRACTOR</t>
  </si>
  <si>
    <t>DB</t>
  </si>
  <si>
    <t>EG</t>
  </si>
  <si>
    <t>AU</t>
  </si>
  <si>
    <t>MY</t>
  </si>
  <si>
    <t>SUPP</t>
  </si>
  <si>
    <t>DIR MAIL</t>
  </si>
  <si>
    <t>RU</t>
  </si>
  <si>
    <t>UN</t>
  </si>
  <si>
    <t>Civilian employee, service agent of the function public</t>
  </si>
  <si>
    <t>Sr Software Develope</t>
  </si>
  <si>
    <t>DN</t>
  </si>
  <si>
    <t>GU</t>
  </si>
  <si>
    <t>M23 1LL</t>
  </si>
  <si>
    <t>WF</t>
  </si>
  <si>
    <t xml:space="preserve">H </t>
  </si>
  <si>
    <t>BUADMIN</t>
  </si>
  <si>
    <t>Employee</t>
  </si>
  <si>
    <t>ZM</t>
  </si>
  <si>
    <t>CN</t>
  </si>
  <si>
    <t>II</t>
  </si>
  <si>
    <t>Analyst</t>
  </si>
  <si>
    <t>Account Mangement</t>
  </si>
  <si>
    <t>DO</t>
  </si>
  <si>
    <t>AZ</t>
  </si>
  <si>
    <t>BN69JF</t>
  </si>
  <si>
    <t>SI</t>
  </si>
  <si>
    <t>GET</t>
  </si>
  <si>
    <t>ABA</t>
  </si>
  <si>
    <t>Paper Application</t>
  </si>
  <si>
    <t>HT</t>
  </si>
  <si>
    <t>PK</t>
  </si>
  <si>
    <t>NF</t>
  </si>
  <si>
    <t>Job search</t>
  </si>
  <si>
    <t>WRITER &amp; JURY CONSUL</t>
  </si>
  <si>
    <t>AN</t>
  </si>
  <si>
    <t>HOUSEHOLD</t>
  </si>
  <si>
    <t>CG</t>
  </si>
  <si>
    <t>ME21BP</t>
  </si>
  <si>
    <t>NE</t>
  </si>
  <si>
    <t>MAD</t>
  </si>
  <si>
    <t>XT</t>
  </si>
  <si>
    <t>MRR</t>
  </si>
  <si>
    <t>EMP APP</t>
  </si>
  <si>
    <t>MN</t>
  </si>
  <si>
    <t>SE</t>
  </si>
  <si>
    <t>Unskilled industrial worker</t>
  </si>
  <si>
    <t>COLLEGE PROFESSOR</t>
  </si>
  <si>
    <t>GR</t>
  </si>
  <si>
    <t>BS</t>
  </si>
  <si>
    <t>LK</t>
  </si>
  <si>
    <t>AA</t>
  </si>
  <si>
    <t>Bank App</t>
  </si>
  <si>
    <t>SN</t>
  </si>
  <si>
    <t>NI</t>
  </si>
  <si>
    <t>Laborer</t>
  </si>
  <si>
    <t>Applications Analyst</t>
  </si>
  <si>
    <t>HEALTH_SERVICES</t>
  </si>
  <si>
    <t>IL</t>
  </si>
  <si>
    <t>SS12 0PJ</t>
  </si>
  <si>
    <t>CT</t>
  </si>
  <si>
    <t>AX</t>
  </si>
  <si>
    <t>DIRECTOR</t>
  </si>
  <si>
    <t>DE</t>
  </si>
  <si>
    <t>KH</t>
  </si>
  <si>
    <t>WS</t>
  </si>
  <si>
    <t>Annuitant</t>
  </si>
  <si>
    <t>Equipment Engineer</t>
  </si>
  <si>
    <t>MC</t>
  </si>
  <si>
    <t>HOSPITALITY_AND_FOOD_SERVICES</t>
  </si>
  <si>
    <t>NG</t>
  </si>
  <si>
    <t>N8 0QA</t>
  </si>
  <si>
    <t>NA</t>
  </si>
  <si>
    <t>DEU</t>
  </si>
  <si>
    <t>PA</t>
  </si>
  <si>
    <t>Global Transfer</t>
  </si>
  <si>
    <t>NP</t>
  </si>
  <si>
    <t>Armed Services</t>
  </si>
  <si>
    <t>Principal Engineer</t>
  </si>
  <si>
    <t>RL</t>
  </si>
  <si>
    <t>INSURANCE</t>
  </si>
  <si>
    <t>IRE</t>
  </si>
  <si>
    <t>AAM</t>
  </si>
  <si>
    <t>TELEMARKETING</t>
  </si>
  <si>
    <t>HU</t>
  </si>
  <si>
    <t>Non-Profit/ Charity Administration</t>
  </si>
  <si>
    <t>manger</t>
  </si>
  <si>
    <t>TA</t>
  </si>
  <si>
    <t>CONSTRUCTION_AND_ENGINEERING</t>
  </si>
  <si>
    <t>PR19SE</t>
  </si>
  <si>
    <t>SC</t>
  </si>
  <si>
    <t>CHI</t>
  </si>
  <si>
    <t>PS</t>
  </si>
  <si>
    <t>GLOBAL TRS</t>
  </si>
  <si>
    <t>BT</t>
  </si>
  <si>
    <t>Former worker, employee</t>
  </si>
  <si>
    <t>DECISION TECH MANAGE</t>
  </si>
  <si>
    <t>DT</t>
  </si>
  <si>
    <t>GENERAL_SERVICE_MOTOR_MECHANIC</t>
  </si>
  <si>
    <t>VC</t>
  </si>
  <si>
    <t>HD9 3JE</t>
  </si>
  <si>
    <t>SK</t>
  </si>
  <si>
    <t>ARE</t>
  </si>
  <si>
    <t>BP</t>
  </si>
  <si>
    <t>SHORT APP</t>
  </si>
  <si>
    <t>FR</t>
  </si>
  <si>
    <t>Sales</t>
  </si>
  <si>
    <t>Customer Service Rep</t>
  </si>
  <si>
    <t>Wholesale</t>
  </si>
  <si>
    <t>MA</t>
  </si>
  <si>
    <t>WF12 9NF</t>
  </si>
  <si>
    <t>BIS</t>
  </si>
  <si>
    <t>GAFC</t>
  </si>
  <si>
    <t>Entrepreneur</t>
  </si>
  <si>
    <t>CIVIL ENGINEER</t>
  </si>
  <si>
    <t>TRANSPORTATION</t>
  </si>
  <si>
    <t>IE</t>
  </si>
  <si>
    <t>TF</t>
  </si>
  <si>
    <t xml:space="preserve">L </t>
  </si>
  <si>
    <t>HOME BANKING</t>
  </si>
  <si>
    <t>KZ</t>
  </si>
  <si>
    <t>Foreman, supervisor</t>
  </si>
  <si>
    <t>TECHNICAL LEAD</t>
  </si>
  <si>
    <t>SP</t>
  </si>
  <si>
    <t>Construction</t>
  </si>
  <si>
    <t>BM</t>
  </si>
  <si>
    <t>WN</t>
  </si>
  <si>
    <t>1K-50K</t>
  </si>
  <si>
    <t>VU</t>
  </si>
  <si>
    <t>Personal services staff to Individuals</t>
  </si>
  <si>
    <t>Housekeeping</t>
  </si>
  <si>
    <t>Consultant/Investment</t>
  </si>
  <si>
    <t>UY</t>
  </si>
  <si>
    <t>IS</t>
  </si>
  <si>
    <t>EJI</t>
  </si>
  <si>
    <t>HH</t>
  </si>
  <si>
    <t>Member Get member</t>
  </si>
  <si>
    <t>Emergency Services</t>
  </si>
  <si>
    <t>ENGINEERING INTERN</t>
  </si>
  <si>
    <t>RN</t>
  </si>
  <si>
    <t>AEROSPACE_AND_DEFENSE</t>
  </si>
  <si>
    <t>ONT</t>
  </si>
  <si>
    <t>BANK</t>
  </si>
  <si>
    <t>US</t>
  </si>
  <si>
    <t>Student</t>
  </si>
  <si>
    <t>Website Designer/Dev</t>
  </si>
  <si>
    <t>GP</t>
  </si>
  <si>
    <t>CF</t>
  </si>
  <si>
    <t>SWE</t>
  </si>
  <si>
    <t>AQ</t>
  </si>
  <si>
    <t>Member Get Member</t>
  </si>
  <si>
    <t>Director/ Manager/ Supervisor</t>
  </si>
  <si>
    <t>QUALITY ASSURANCE</t>
  </si>
  <si>
    <t>JW</t>
  </si>
  <si>
    <t>Accounting / Bookkeeping</t>
  </si>
  <si>
    <t>PO7 8QT</t>
  </si>
  <si>
    <t>MK</t>
  </si>
  <si>
    <t>PC</t>
  </si>
  <si>
    <t>OT</t>
  </si>
  <si>
    <t>Pers Sales</t>
  </si>
  <si>
    <t>NL</t>
  </si>
  <si>
    <t>Consultant</t>
  </si>
  <si>
    <t>Hardware Enginner</t>
  </si>
  <si>
    <t>ME</t>
  </si>
  <si>
    <t>Agriculture/Fishing/Forestry/Mining</t>
  </si>
  <si>
    <t>LC</t>
  </si>
  <si>
    <t>1521 NW</t>
  </si>
  <si>
    <t>TD</t>
  </si>
  <si>
    <t>SCT</t>
  </si>
  <si>
    <t>VN</t>
  </si>
  <si>
    <t>ES</t>
  </si>
  <si>
    <t>Coach/ Counsellor</t>
  </si>
  <si>
    <t>SCIENTIFIC RESEARCH</t>
  </si>
  <si>
    <t>TB</t>
  </si>
  <si>
    <t>MX</t>
  </si>
  <si>
    <t>GQ</t>
  </si>
  <si>
    <t>GBR</t>
  </si>
  <si>
    <t>MEMGETMEM</t>
  </si>
  <si>
    <t>TZ</t>
  </si>
  <si>
    <t>Financial System An</t>
  </si>
  <si>
    <t>MANUFACTURING</t>
  </si>
  <si>
    <t>G42 9UT</t>
  </si>
  <si>
    <t>AL</t>
  </si>
  <si>
    <t xml:space="preserve">D </t>
  </si>
  <si>
    <t>MGM</t>
  </si>
  <si>
    <t>Business owner</t>
  </si>
  <si>
    <t>ECS</t>
  </si>
  <si>
    <t>NN</t>
  </si>
  <si>
    <t>Retail</t>
  </si>
  <si>
    <t>TN3 0HW</t>
  </si>
  <si>
    <t>SAL</t>
  </si>
  <si>
    <t>Cross Sell</t>
  </si>
  <si>
    <t>Self Employed / SoleTrader</t>
  </si>
  <si>
    <t>Guest Services Rep</t>
  </si>
  <si>
    <t>DI</t>
  </si>
  <si>
    <t>OIL_GAS_AND_MINING</t>
  </si>
  <si>
    <t>JP</t>
  </si>
  <si>
    <t>SD</t>
  </si>
  <si>
    <t>ZUI</t>
  </si>
  <si>
    <t>Telemarketing</t>
  </si>
  <si>
    <t>Teacher</t>
  </si>
  <si>
    <t>MILITARY OFFICER</t>
  </si>
  <si>
    <t>GA</t>
  </si>
  <si>
    <t>AEROSPACE_OR_DEFENSE</t>
  </si>
  <si>
    <t>DA2 7WR</t>
  </si>
  <si>
    <t>CU</t>
  </si>
  <si>
    <t>CS</t>
  </si>
  <si>
    <t>In Store</t>
  </si>
  <si>
    <t>EC</t>
  </si>
  <si>
    <t>Professor</t>
  </si>
  <si>
    <t>Data Engineer</t>
  </si>
  <si>
    <t>UE</t>
  </si>
  <si>
    <t>Lodging</t>
  </si>
  <si>
    <t>HN</t>
  </si>
  <si>
    <t>HD7 5LP</t>
  </si>
  <si>
    <t>SY</t>
  </si>
  <si>
    <t>NSW</t>
  </si>
  <si>
    <t>TELEMKTING</t>
  </si>
  <si>
    <t>AW</t>
  </si>
  <si>
    <t>Skilled artisan type worker</t>
  </si>
  <si>
    <t>EXTERNSHIP COORDINAT</t>
  </si>
  <si>
    <t>CONSTRUCTION</t>
  </si>
  <si>
    <t>ACT</t>
  </si>
  <si>
    <t>Take one</t>
  </si>
  <si>
    <t>OM</t>
  </si>
  <si>
    <t>Service Staff</t>
  </si>
  <si>
    <t>Clinique Business Ma</t>
  </si>
  <si>
    <t>Hospitality  and Food Services</t>
  </si>
  <si>
    <t>BR</t>
  </si>
  <si>
    <t>KA14QD</t>
  </si>
  <si>
    <t>POZ</t>
  </si>
  <si>
    <t>OUTBOUNDTM</t>
  </si>
  <si>
    <t>CW</t>
  </si>
  <si>
    <t>Trader/Dealer</t>
  </si>
  <si>
    <t>Facilities Manager</t>
  </si>
  <si>
    <t>VV</t>
  </si>
  <si>
    <t>Natural Resources/Agriculture</t>
  </si>
  <si>
    <t>ZZ</t>
  </si>
  <si>
    <t>FJ</t>
  </si>
  <si>
    <t>IRL</t>
  </si>
  <si>
    <t>ENQUIRY</t>
  </si>
  <si>
    <t>BW</t>
  </si>
  <si>
    <t>Diamond Trader</t>
  </si>
  <si>
    <t>QUALITY SYSTEMS</t>
  </si>
  <si>
    <t>RF</t>
  </si>
  <si>
    <t>AGRICULTURE_OR_FISHING_OR_FORESTRY_OR_MINING</t>
  </si>
  <si>
    <t>TH</t>
  </si>
  <si>
    <t>TW59HL</t>
  </si>
  <si>
    <t>BOA</t>
  </si>
  <si>
    <t>In House</t>
  </si>
  <si>
    <t>ZA</t>
  </si>
  <si>
    <t>Trader</t>
  </si>
  <si>
    <t>MGR</t>
  </si>
  <si>
    <t>UW</t>
  </si>
  <si>
    <t>HOSPITALITY_OR_LODGING</t>
  </si>
  <si>
    <t>CV22 5FE</t>
  </si>
  <si>
    <t>PIT</t>
  </si>
  <si>
    <t>DEFAULT</t>
  </si>
  <si>
    <t>SG</t>
  </si>
  <si>
    <t>Chef</t>
  </si>
  <si>
    <t>TEACHER ASST</t>
  </si>
  <si>
    <t>EP</t>
  </si>
  <si>
    <t>Recrutiment</t>
  </si>
  <si>
    <t>GM</t>
  </si>
  <si>
    <t>SO</t>
  </si>
  <si>
    <t>Per Sales</t>
  </si>
  <si>
    <t>LR</t>
  </si>
  <si>
    <t>JO</t>
  </si>
  <si>
    <t>Public service executive</t>
  </si>
  <si>
    <t>Arbitrator</t>
  </si>
  <si>
    <t>GOVERNMENT_OR_PUBLIC_SERVICE</t>
  </si>
  <si>
    <t>BQ</t>
  </si>
  <si>
    <t>MOS</t>
  </si>
  <si>
    <t>Direct Sales</t>
  </si>
  <si>
    <t>Distributor</t>
  </si>
  <si>
    <t>Prin. Design Tech.</t>
  </si>
  <si>
    <t>FOOD_AND_BEVERAGE_SERVICES</t>
  </si>
  <si>
    <t>SW20 8BA</t>
  </si>
  <si>
    <t>TER</t>
  </si>
  <si>
    <t>BANK APP</t>
  </si>
  <si>
    <t>MV</t>
  </si>
  <si>
    <t>Shop owner and assimilated</t>
  </si>
  <si>
    <t>Risk Advisor</t>
  </si>
  <si>
    <t>PROFESSIONAL</t>
  </si>
  <si>
    <t>BT179RN</t>
  </si>
  <si>
    <t>ZW</t>
  </si>
  <si>
    <t>AVI</t>
  </si>
  <si>
    <t>Inserts</t>
  </si>
  <si>
    <t>CK</t>
  </si>
  <si>
    <t>Pharmaceutical Sales</t>
  </si>
  <si>
    <t>COMPUTED TECHNOLOGY</t>
  </si>
  <si>
    <t>AD</t>
  </si>
  <si>
    <t>Travel, Tourism and Hospitality/ Casinos/ Gaming</t>
  </si>
  <si>
    <t>GU27 2PH</t>
  </si>
  <si>
    <t>MF</t>
  </si>
  <si>
    <t>WLG</t>
  </si>
  <si>
    <t>AIRPORT</t>
  </si>
  <si>
    <t>SX</t>
  </si>
  <si>
    <t>Former worker</t>
  </si>
  <si>
    <t>Quality Analyst</t>
  </si>
  <si>
    <t>Jewellery, Antiques, Art dealers, Registered Diamond Dealer</t>
  </si>
  <si>
    <t>JM</t>
  </si>
  <si>
    <t>HP3 9FZ</t>
  </si>
  <si>
    <t>J</t>
  </si>
  <si>
    <t>Dir Sales</t>
  </si>
  <si>
    <t>Farmer</t>
  </si>
  <si>
    <t>TRAINER</t>
  </si>
  <si>
    <t>SERVICES</t>
  </si>
  <si>
    <t>FK1 5ND</t>
  </si>
  <si>
    <t>ML</t>
  </si>
  <si>
    <t>BIZ</t>
  </si>
  <si>
    <t>WELCOME PK</t>
  </si>
  <si>
    <t>Administrative and commercial intermediary profession of companies</t>
  </si>
  <si>
    <t>LICENSING</t>
  </si>
  <si>
    <t>Hospitality/Lodging</t>
  </si>
  <si>
    <t>RG7 2DP</t>
  </si>
  <si>
    <t>SEG</t>
  </si>
  <si>
    <t>Direct Mail</t>
  </si>
  <si>
    <t>Liberal profession</t>
  </si>
  <si>
    <t>MCDONALDS FRANCHISE</t>
  </si>
  <si>
    <t>ED</t>
  </si>
  <si>
    <t>Transportation and Utilities</t>
  </si>
  <si>
    <t>SL9 7PW</t>
  </si>
  <si>
    <t>SL</t>
  </si>
  <si>
    <t>GAL</t>
  </si>
  <si>
    <t>SAVE A C/M</t>
  </si>
  <si>
    <t>Politican</t>
  </si>
  <si>
    <t>Co-Manufacturing Mgr</t>
  </si>
  <si>
    <t>EN</t>
  </si>
  <si>
    <t>MT</t>
  </si>
  <si>
    <t>ISL</t>
  </si>
  <si>
    <t>Interactive Services</t>
  </si>
  <si>
    <t>Administrative and commercial manager</t>
  </si>
  <si>
    <t>SPEECH-LANGUAGE PATH</t>
  </si>
  <si>
    <t>Government or Public Service</t>
  </si>
  <si>
    <t>SE165EF</t>
  </si>
  <si>
    <t>GER</t>
  </si>
  <si>
    <t>INTERNET</t>
  </si>
  <si>
    <t>Agricultural worker</t>
  </si>
  <si>
    <t>REAL ESTATE DEVELOPE</t>
  </si>
  <si>
    <t>RS</t>
  </si>
  <si>
    <t>Government/Public Sector</t>
  </si>
  <si>
    <t>HA4 6PX</t>
  </si>
  <si>
    <t>CO</t>
  </si>
  <si>
    <t>LPM</t>
  </si>
  <si>
    <t>CS LIGHT</t>
  </si>
  <si>
    <t>Pensioner</t>
  </si>
  <si>
    <t>GUEST SERVICES</t>
  </si>
  <si>
    <t>AE</t>
  </si>
  <si>
    <t>Transport</t>
  </si>
  <si>
    <t>AL4 0LP</t>
  </si>
  <si>
    <t>RO</t>
  </si>
  <si>
    <t>CDI</t>
  </si>
  <si>
    <t>Non Profiled Bank</t>
  </si>
  <si>
    <t>Skilled worker in handling, warehousing and transport</t>
  </si>
  <si>
    <t>Machine Operator</t>
  </si>
  <si>
    <t>Finance and Banking</t>
  </si>
  <si>
    <t>NR6 6XG</t>
  </si>
  <si>
    <t>KE</t>
  </si>
  <si>
    <t>UK</t>
  </si>
  <si>
    <t>Take One</t>
  </si>
  <si>
    <t>Architect/Engineer/Tech Manager</t>
  </si>
  <si>
    <t>HEADHUNTER</t>
  </si>
  <si>
    <t>PI</t>
  </si>
  <si>
    <t>FINANCE_INSURANCE_AND_BANKING</t>
  </si>
  <si>
    <t>KA169ER</t>
  </si>
  <si>
    <t>KW</t>
  </si>
  <si>
    <t>COP</t>
  </si>
  <si>
    <t>Partners</t>
  </si>
  <si>
    <t>MW</t>
  </si>
  <si>
    <t>Public Servant</t>
  </si>
  <si>
    <t>Loan Underwriter</t>
  </si>
  <si>
    <t>JD</t>
  </si>
  <si>
    <t>GOVERNMENT_OR_PUBLIC_SECTOR</t>
  </si>
  <si>
    <t>PAM</t>
  </si>
  <si>
    <t>OUTBOUND TELEMARKETING</t>
  </si>
  <si>
    <t>Arts and entertainment information profession</t>
  </si>
  <si>
    <t>BARISTA</t>
  </si>
  <si>
    <t>CC</t>
  </si>
  <si>
    <t>Construction &amp; Engineering</t>
  </si>
  <si>
    <t>RM6 5RJ</t>
  </si>
  <si>
    <t>MAN</t>
  </si>
  <si>
    <t>PER SALES</t>
  </si>
  <si>
    <t>IQ</t>
  </si>
  <si>
    <t>Skilled Worker</t>
  </si>
  <si>
    <t>PHARMACY</t>
  </si>
  <si>
    <t>RB</t>
  </si>
  <si>
    <t>Security and Detect</t>
  </si>
  <si>
    <t>GUA</t>
  </si>
  <si>
    <t>INBOUND â€“ Telemarketing</t>
  </si>
  <si>
    <t>EO</t>
  </si>
  <si>
    <t>Health Worker</t>
  </si>
  <si>
    <t>TRAIN CONDUCTOR</t>
  </si>
  <si>
    <t>HF</t>
  </si>
  <si>
    <t>NON_CLASSIFIABLE</t>
  </si>
  <si>
    <t>VG</t>
  </si>
  <si>
    <t>KOT</t>
  </si>
  <si>
    <t>Partnership</t>
  </si>
  <si>
    <t>TJ</t>
  </si>
  <si>
    <t>Policeman, military</t>
  </si>
  <si>
    <t>FORKLIFT DRIVER</t>
  </si>
  <si>
    <t>PLUMBING</t>
  </si>
  <si>
    <t>2624 MZ</t>
  </si>
  <si>
    <t>MRC</t>
  </si>
  <si>
    <t>PARTNERSHIP</t>
  </si>
  <si>
    <t>GT</t>
  </si>
  <si>
    <t>Retail Staff</t>
  </si>
  <si>
    <t>electronic system</t>
  </si>
  <si>
    <t>SS</t>
  </si>
  <si>
    <t>MEDICAL_OR_HEALTHCARE</t>
  </si>
  <si>
    <t>NW9 8AD</t>
  </si>
  <si>
    <t>ESP</t>
  </si>
  <si>
    <t>Dummy Entry</t>
  </si>
  <si>
    <t>IM</t>
  </si>
  <si>
    <t>Investment Banker</t>
  </si>
  <si>
    <t>ADVERTISING EXEC</t>
  </si>
  <si>
    <t>Professional/Scientific/TechServices</t>
  </si>
  <si>
    <t>KN</t>
  </si>
  <si>
    <t>UB4 0HL</t>
  </si>
  <si>
    <t>ACO</t>
  </si>
  <si>
    <t>Airports</t>
  </si>
  <si>
    <t>GB</t>
  </si>
  <si>
    <t>Casino/ Gaming Management</t>
  </si>
  <si>
    <t>Social worker</t>
  </si>
  <si>
    <t>No Information</t>
  </si>
  <si>
    <t>MZ</t>
  </si>
  <si>
    <t>GU33 6LL</t>
  </si>
  <si>
    <t>AST</t>
  </si>
  <si>
    <t>Internet</t>
  </si>
  <si>
    <t>BF</t>
  </si>
  <si>
    <t>Former intermediate profession</t>
  </si>
  <si>
    <t>Marketing Specalist</t>
  </si>
  <si>
    <t>TRANSPORTATION_UTILITIES</t>
  </si>
  <si>
    <t>CD</t>
  </si>
  <si>
    <t>GRE</t>
  </si>
  <si>
    <t>OUTBOUND - Telemarketing</t>
  </si>
  <si>
    <t>BJ</t>
  </si>
  <si>
    <t>Architect/ Engineer</t>
  </si>
  <si>
    <t>WINE SALES</t>
  </si>
  <si>
    <t>FO</t>
  </si>
  <si>
    <t>TRANSPORTATION_AND_UTILITIES</t>
  </si>
  <si>
    <t>BZ</t>
  </si>
  <si>
    <t>HA1 3JS</t>
  </si>
  <si>
    <t>SPA</t>
  </si>
  <si>
    <t>AT POS</t>
  </si>
  <si>
    <t>Unskilled artisan type worker</t>
  </si>
  <si>
    <t>WEB DESIGNER</t>
  </si>
  <si>
    <t>TELECOM_OR_IT</t>
  </si>
  <si>
    <t>ML7 5BW</t>
  </si>
  <si>
    <t>MD</t>
  </si>
  <si>
    <t>P</t>
  </si>
  <si>
    <t>Personal Sales</t>
  </si>
  <si>
    <t>TR</t>
  </si>
  <si>
    <t>LB</t>
  </si>
  <si>
    <t>Travel Agent</t>
  </si>
  <si>
    <t>VP Content Delivery</t>
  </si>
  <si>
    <t>OS</t>
  </si>
  <si>
    <t>Oil, Gas, Mining</t>
  </si>
  <si>
    <t>EH5 3QB</t>
  </si>
  <si>
    <t>DZ</t>
  </si>
  <si>
    <t>OR</t>
  </si>
  <si>
    <t>Software Engineers</t>
  </si>
  <si>
    <t>HYDROLOGIST</t>
  </si>
  <si>
    <t>XX</t>
  </si>
  <si>
    <t>IM3 2JX</t>
  </si>
  <si>
    <t>BH</t>
  </si>
  <si>
    <t>CE</t>
  </si>
  <si>
    <t>NO</t>
  </si>
  <si>
    <t>Liberal Profession</t>
  </si>
  <si>
    <t>President, DP</t>
  </si>
  <si>
    <t>PROFESSIONAL_OR_SCIENTIFIC_OR_TECH_SERVICES</t>
  </si>
  <si>
    <t>TW</t>
  </si>
  <si>
    <t>EC1V 4DG</t>
  </si>
  <si>
    <t>LS</t>
  </si>
  <si>
    <t>VIE</t>
  </si>
  <si>
    <t>VI</t>
  </si>
  <si>
    <t>Clergy, religious</t>
  </si>
  <si>
    <t>R &amp; D Lead</t>
  </si>
  <si>
    <t>AB</t>
  </si>
  <si>
    <t>Marketing/Advertisment</t>
  </si>
  <si>
    <t>CM</t>
  </si>
  <si>
    <t>HU17 0BF</t>
  </si>
  <si>
    <t>TG</t>
  </si>
  <si>
    <t>JAP</t>
  </si>
  <si>
    <t>GY</t>
  </si>
  <si>
    <t>Owner, Esthetician</t>
  </si>
  <si>
    <t>HP</t>
  </si>
  <si>
    <t>JEWELRY_OR_ANTIQUE_OR_ART_OR_DIAMOND</t>
  </si>
  <si>
    <t>PG</t>
  </si>
  <si>
    <t>SM5 2FG</t>
  </si>
  <si>
    <t>CV</t>
  </si>
  <si>
    <t>LAC</t>
  </si>
  <si>
    <t>Customer Service representative</t>
  </si>
  <si>
    <t>Staff</t>
  </si>
  <si>
    <t>FP</t>
  </si>
  <si>
    <t>UTILITIES</t>
  </si>
  <si>
    <t>TW9 4BP</t>
  </si>
  <si>
    <t>TO</t>
  </si>
  <si>
    <t>ALE</t>
  </si>
  <si>
    <t>Former manager</t>
  </si>
  <si>
    <t>Sr. Banker</t>
  </si>
  <si>
    <t>AC</t>
  </si>
  <si>
    <t>Medical / Health Care</t>
  </si>
  <si>
    <t>BS30 8AG</t>
  </si>
  <si>
    <t>VIG</t>
  </si>
  <si>
    <t>Executive</t>
  </si>
  <si>
    <t>Maintainance</t>
  </si>
  <si>
    <t>Non Profit</t>
  </si>
  <si>
    <t>Former farmer operator</t>
  </si>
  <si>
    <t>SOLE PROPRIETOR</t>
  </si>
  <si>
    <t>FY</t>
  </si>
  <si>
    <t>-</t>
  </si>
  <si>
    <t>CM11 2LG</t>
  </si>
  <si>
    <t>EPS</t>
  </si>
  <si>
    <t>Technician</t>
  </si>
  <si>
    <t>MATH TEACHER</t>
  </si>
  <si>
    <t>TELECOMMUNICATIONS</t>
  </si>
  <si>
    <t>PAL</t>
  </si>
  <si>
    <t>Office Staff</t>
  </si>
  <si>
    <t>Assistant Director</t>
  </si>
  <si>
    <t>Commercial and Professional Services</t>
  </si>
  <si>
    <t>ILL</t>
  </si>
  <si>
    <t>Skilled industrial worker</t>
  </si>
  <si>
    <t>Appraiser</t>
  </si>
  <si>
    <t>Travel/Tourism</t>
  </si>
  <si>
    <t>AF</t>
  </si>
  <si>
    <t>Craftsman / Artisan</t>
  </si>
  <si>
    <t>LIBRARY AND INFORMAT</t>
  </si>
  <si>
    <t>DR</t>
  </si>
  <si>
    <t>Global Service Motor-Mechanic,Electrical,Plumbing</t>
  </si>
  <si>
    <t>BY</t>
  </si>
  <si>
    <t>NG9 6GG</t>
  </si>
  <si>
    <t>MH</t>
  </si>
  <si>
    <t>KG</t>
  </si>
  <si>
    <t>Pharmacist</t>
  </si>
  <si>
    <t>NUTITION CARE TECH</t>
  </si>
  <si>
    <t>EM</t>
  </si>
  <si>
    <t>Media and Telecommunications</t>
  </si>
  <si>
    <t>KT21 2EB</t>
  </si>
  <si>
    <t>TEX</t>
  </si>
  <si>
    <t>Doctor, Dentist</t>
  </si>
  <si>
    <t>AL08 ESG Svc Spec</t>
  </si>
  <si>
    <t>HM</t>
  </si>
  <si>
    <t>MR</t>
  </si>
  <si>
    <t>Z</t>
  </si>
  <si>
    <t>DM</t>
  </si>
  <si>
    <t>Nurse, therapist</t>
  </si>
  <si>
    <t>Inside Sales Manager</t>
  </si>
  <si>
    <t>TRAVEL_TOURISM_AND_HOSPITALITY_OR_CASINOS_OR_GAMING</t>
  </si>
  <si>
    <t>BI</t>
  </si>
  <si>
    <t>GN</t>
  </si>
  <si>
    <t>AP MANAGER</t>
  </si>
  <si>
    <t>FF</t>
  </si>
  <si>
    <t>NATURAL_RESOURCES</t>
  </si>
  <si>
    <t>RG24 9FR</t>
  </si>
  <si>
    <t>NC</t>
  </si>
  <si>
    <t>INFORMATION SECURITY</t>
  </si>
  <si>
    <t>ENG</t>
  </si>
  <si>
    <t>Master Data Admin</t>
  </si>
  <si>
    <t>EX</t>
  </si>
  <si>
    <t>AB326HU</t>
  </si>
  <si>
    <t>SA</t>
  </si>
  <si>
    <t>PRINCIPAL</t>
  </si>
  <si>
    <t>RG5 4XW</t>
  </si>
  <si>
    <t>LT</t>
  </si>
  <si>
    <t>Gen. Manager</t>
  </si>
  <si>
    <t>PB</t>
  </si>
  <si>
    <t>Computers/Electronics</t>
  </si>
  <si>
    <t>RG24 8JU</t>
  </si>
  <si>
    <t>EL</t>
  </si>
  <si>
    <t>COMPUTER INSTRUCTOR</t>
  </si>
  <si>
    <t>RP</t>
  </si>
  <si>
    <t>Educational Services</t>
  </si>
  <si>
    <t>GU16 9UU</t>
  </si>
  <si>
    <t>IR</t>
  </si>
  <si>
    <t>DEC</t>
  </si>
  <si>
    <t>LV</t>
  </si>
  <si>
    <t>MATH INSTRUCTOR</t>
  </si>
  <si>
    <t>IV2 3EJ</t>
  </si>
  <si>
    <t>LUX</t>
  </si>
  <si>
    <t>SENIOR PRODUCT MANAG</t>
  </si>
  <si>
    <t>GV</t>
  </si>
  <si>
    <t>PUBLIC_ADMINISTRATION</t>
  </si>
  <si>
    <t xml:space="preserve">R </t>
  </si>
  <si>
    <t>Java Developer</t>
  </si>
  <si>
    <t>MO</t>
  </si>
  <si>
    <t>Transportation</t>
  </si>
  <si>
    <t>M14 7PR</t>
  </si>
  <si>
    <t>OUR</t>
  </si>
  <si>
    <t>AUDITS MANAGER</t>
  </si>
  <si>
    <t>Arts and Entertainment and Recreation</t>
  </si>
  <si>
    <t>RG12 8ZH</t>
  </si>
  <si>
    <t>Placement Specialist</t>
  </si>
  <si>
    <t>EDUCATION</t>
  </si>
  <si>
    <t>N1 1US</t>
  </si>
  <si>
    <t>HR</t>
  </si>
  <si>
    <t>WD</t>
  </si>
  <si>
    <t>Agent</t>
  </si>
  <si>
    <t>AV</t>
  </si>
  <si>
    <t>BN7 2WZ</t>
  </si>
  <si>
    <t>MS</t>
  </si>
  <si>
    <t>PRT</t>
  </si>
  <si>
    <t>GI</t>
  </si>
  <si>
    <t>Saw Operator</t>
  </si>
  <si>
    <t>Healthcare</t>
  </si>
  <si>
    <t>XR</t>
  </si>
  <si>
    <t>MINING</t>
  </si>
  <si>
    <t>B13 8RR</t>
  </si>
  <si>
    <t>AND</t>
  </si>
  <si>
    <t>BG</t>
  </si>
  <si>
    <t>PRODUCT ENGINEER</t>
  </si>
  <si>
    <t>EE</t>
  </si>
  <si>
    <t>Others</t>
  </si>
  <si>
    <t xml:space="preserve">P </t>
  </si>
  <si>
    <t>UZ</t>
  </si>
  <si>
    <t>Senior Audit Manager</t>
  </si>
  <si>
    <t>WHOLESALE_OR_RETAIL</t>
  </si>
  <si>
    <t>SY4 4PG</t>
  </si>
  <si>
    <t>CAD</t>
  </si>
  <si>
    <t>HR Consultant</t>
  </si>
  <si>
    <t>RECREATION_SPORTS_AND_ENTERTAINMENT</t>
  </si>
  <si>
    <t>SL3 8LB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</si>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</sst>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trike/>
      <sz val="11"/>
      <color rgb="FFFF0000"/>
      <name val="Calibri"/>
      <family val="2"/>
    </font>
    <font>
      <b/>
      <strike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</font>
    <font>
      <u/>
      <sz val="11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4" borderId="0" xfId="0" applyFont="1" applyFill="1"/>
    <xf numFmtId="0" fontId="2" fillId="0" borderId="0" xfId="0" applyFont="1"/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wrapText="1"/>
    </xf>
    <xf numFmtId="0" fontId="2" fillId="4" borderId="1" xfId="0" applyFont="1" applyFill="1" applyBorder="1"/>
    <xf numFmtId="0" fontId="7" fillId="5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9" fillId="12" borderId="1" xfId="0" applyFont="1" applyFill="1" applyBorder="1" applyAlignment="1">
      <alignment horizontal="center" wrapText="1"/>
    </xf>
    <xf numFmtId="0" fontId="9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left"/>
    </xf>
    <xf numFmtId="0" fontId="8" fillId="13" borderId="1" xfId="0" applyFont="1" applyFill="1" applyBorder="1"/>
    <xf numFmtId="0" fontId="9" fillId="1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center" wrapText="1"/>
    </xf>
    <xf numFmtId="0" fontId="10" fillId="15" borderId="1" xfId="0" applyFont="1" applyFill="1" applyBorder="1" applyAlignment="1">
      <alignment horizontal="center" wrapText="1"/>
    </xf>
    <xf numFmtId="0" fontId="10" fillId="16" borderId="1" xfId="0" applyFont="1" applyFill="1" applyBorder="1" applyAlignment="1">
      <alignment horizontal="center" wrapText="1"/>
    </xf>
    <xf numFmtId="0" fontId="10" fillId="17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wrapText="1"/>
    </xf>
    <xf numFmtId="0" fontId="11" fillId="10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 wrapText="1"/>
    </xf>
    <xf numFmtId="0" fontId="9" fillId="14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7" fillId="0" borderId="1" xfId="0" applyNumberFormat="1" applyFont="1" applyBorder="1" applyAlignment="1">
      <alignment horizontal="left" wrapText="1"/>
    </xf>
    <xf numFmtId="0" fontId="7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0" fontId="2" fillId="4" borderId="1" xfId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7" fillId="12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left" wrapText="1"/>
    </xf>
    <xf numFmtId="0" fontId="9" fillId="12" borderId="1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wrapText="1"/>
    </xf>
    <xf numFmtId="0" fontId="2" fillId="18" borderId="4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7" fillId="19" borderId="1" xfId="0" applyFont="1" applyFill="1" applyBorder="1" applyAlignment="1">
      <alignment wrapText="1"/>
    </xf>
    <xf numFmtId="0" fontId="7" fillId="19" borderId="5" xfId="0" applyFont="1" applyFill="1" applyBorder="1" applyAlignment="1">
      <alignment wrapText="1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5" fillId="3" borderId="5" xfId="0" applyFont="1" applyFill="1" applyBorder="1"/>
    <xf numFmtId="0" fontId="5" fillId="3" borderId="5" xfId="0" applyFont="1" applyFill="1" applyBorder="1" applyAlignment="1">
      <alignment wrapText="1"/>
    </xf>
    <xf numFmtId="0" fontId="7" fillId="19" borderId="0" xfId="0" applyFont="1" applyFill="1"/>
    <xf numFmtId="0" fontId="7" fillId="19" borderId="6" xfId="0" applyFont="1" applyFill="1" applyBorder="1"/>
    <xf numFmtId="0" fontId="7" fillId="19" borderId="7" xfId="0" applyFont="1" applyFill="1" applyBorder="1"/>
    <xf numFmtId="0" fontId="7" fillId="19" borderId="7" xfId="0" applyFont="1" applyFill="1" applyBorder="1" applyAlignment="1">
      <alignment wrapText="1"/>
    </xf>
    <xf numFmtId="0" fontId="7" fillId="19" borderId="6" xfId="0" applyFont="1" applyFill="1" applyBorder="1" applyAlignment="1">
      <alignment wrapText="1"/>
    </xf>
    <xf numFmtId="0" fontId="11" fillId="18" borderId="1" xfId="0" applyFont="1" applyFill="1" applyBorder="1" applyAlignment="1">
      <alignment wrapText="1"/>
    </xf>
    <xf numFmtId="0" fontId="11" fillId="18" borderId="5" xfId="0" applyFont="1" applyFill="1" applyBorder="1"/>
    <xf numFmtId="0" fontId="8" fillId="13" borderId="1" xfId="0" applyFont="1" applyFill="1" applyBorder="1" applyAlignment="1">
      <alignment wrapText="1"/>
    </xf>
    <xf numFmtId="0" fontId="7" fillId="1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9B3A120-8FB9-4ECE-833F-76E6F88A5089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84E7-55A4-4D50-8E13-0BB1BA6EDAF5}">
  <dimension ref="B2:L83"/>
  <sheetViews>
    <sheetView showGridLines="0" topLeftCell="E1" zoomScale="80" zoomScaleNormal="80" workbookViewId="0">
      <selection activeCell="A16" sqref="A16:XFD16"/>
    </sheetView>
  </sheetViews>
  <sheetFormatPr defaultColWidth="9.1796875" defaultRowHeight="14.5" customHeight="1" x14ac:dyDescent="0.35"/>
  <cols>
    <col min="1" max="1" width="2.1796875" style="1" customWidth="1"/>
    <col min="2" max="2" width="38.81640625" style="3" customWidth="1"/>
    <col min="3" max="3" width="39" style="1" customWidth="1"/>
    <col min="4" max="4" width="33.54296875" style="1" bestFit="1" customWidth="1"/>
    <col min="5" max="5" width="22.453125" style="4" customWidth="1"/>
    <col min="6" max="6" width="37.81640625" style="1" customWidth="1"/>
    <col min="7" max="7" width="27.453125" style="1" customWidth="1"/>
    <col min="8" max="8" width="21.453125" style="1" bestFit="1" customWidth="1"/>
    <col min="9" max="10" width="15.7265625" style="4" customWidth="1"/>
    <col min="11" max="11" width="34.7265625" style="5" customWidth="1"/>
    <col min="12" max="12" width="110.26953125" style="1" customWidth="1"/>
    <col min="13" max="16384" width="9.1796875" style="1"/>
  </cols>
  <sheetData>
    <row r="2" spans="2:12" ht="14.5" customHeight="1" x14ac:dyDescent="0.35">
      <c r="B2" s="64"/>
      <c r="C2" s="63" t="s">
        <v>0</v>
      </c>
    </row>
    <row r="3" spans="2:12" ht="14.5" customHeight="1" x14ac:dyDescent="0.35">
      <c r="B3" s="65"/>
      <c r="C3" s="63" t="s">
        <v>1</v>
      </c>
    </row>
    <row r="4" spans="2:12" s="2" customFormat="1" ht="15" customHeight="1" x14ac:dyDescent="0.35">
      <c r="B4" s="6"/>
      <c r="E4" s="7"/>
      <c r="I4" s="7"/>
      <c r="J4" s="7"/>
      <c r="K4" s="8"/>
    </row>
    <row r="5" spans="2:12" s="2" customFormat="1" ht="15" customHeight="1" x14ac:dyDescent="0.35">
      <c r="B5" s="9" t="s">
        <v>2</v>
      </c>
      <c r="C5" s="10"/>
      <c r="D5" s="10"/>
      <c r="E5" s="7"/>
      <c r="I5" s="7"/>
      <c r="J5" s="7"/>
      <c r="K5" s="8"/>
    </row>
    <row r="6" spans="2:12" s="2" customFormat="1" ht="45.75" customHeight="1" x14ac:dyDescent="0.35">
      <c r="B6" s="11" t="s">
        <v>3</v>
      </c>
      <c r="C6" s="12"/>
      <c r="D6" s="12"/>
      <c r="E6" s="7"/>
      <c r="I6" s="7"/>
      <c r="J6" s="7"/>
      <c r="K6" s="8"/>
    </row>
    <row r="7" spans="2:12" s="2" customFormat="1" ht="15" customHeight="1" x14ac:dyDescent="0.35">
      <c r="B7" s="6"/>
      <c r="E7" s="7"/>
      <c r="I7" s="7"/>
      <c r="J7" s="7"/>
      <c r="K7" s="8"/>
    </row>
    <row r="8" spans="2:12" s="2" customFormat="1" x14ac:dyDescent="0.35">
      <c r="B8" s="61" t="s">
        <v>4</v>
      </c>
      <c r="C8" s="62" t="s">
        <v>5</v>
      </c>
      <c r="D8" s="62" t="s">
        <v>6</v>
      </c>
      <c r="E8" s="15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6" t="s">
        <v>13</v>
      </c>
      <c r="L8" s="13" t="s">
        <v>14</v>
      </c>
    </row>
    <row r="9" spans="2:12" ht="14.5" customHeight="1" x14ac:dyDescent="0.35">
      <c r="B9" s="17" t="s">
        <v>15</v>
      </c>
      <c r="C9" s="17" t="s">
        <v>16</v>
      </c>
      <c r="D9" s="17" t="s">
        <v>17</v>
      </c>
      <c r="E9" s="18" t="s">
        <v>18</v>
      </c>
      <c r="F9" s="19" t="s">
        <v>19</v>
      </c>
      <c r="G9" s="19" t="s">
        <v>20</v>
      </c>
      <c r="H9" s="18" t="s">
        <v>21</v>
      </c>
      <c r="I9" s="18" t="s">
        <v>22</v>
      </c>
      <c r="J9" s="18" t="s">
        <v>23</v>
      </c>
      <c r="K9" s="23" t="s">
        <v>24</v>
      </c>
      <c r="L9" s="21"/>
    </row>
    <row r="10" spans="2:12" ht="14.5" customHeight="1" x14ac:dyDescent="0.35">
      <c r="B10" s="17" t="s">
        <v>25</v>
      </c>
      <c r="C10" s="17" t="s">
        <v>26</v>
      </c>
      <c r="D10" s="17" t="s">
        <v>17</v>
      </c>
      <c r="E10" s="18" t="s">
        <v>18</v>
      </c>
      <c r="F10" s="19" t="s">
        <v>19</v>
      </c>
      <c r="G10" s="19" t="s">
        <v>27</v>
      </c>
      <c r="H10" s="18" t="s">
        <v>21</v>
      </c>
      <c r="I10" s="18" t="s">
        <v>22</v>
      </c>
      <c r="J10" s="18" t="s">
        <v>23</v>
      </c>
      <c r="K10" s="23" t="s">
        <v>28</v>
      </c>
      <c r="L10" s="21"/>
    </row>
    <row r="11" spans="2:12" ht="14.5" customHeight="1" x14ac:dyDescent="0.35">
      <c r="B11" s="22" t="s">
        <v>29</v>
      </c>
      <c r="C11" s="17" t="s">
        <v>30</v>
      </c>
      <c r="D11" s="17" t="s">
        <v>17</v>
      </c>
      <c r="E11" s="18" t="s">
        <v>18</v>
      </c>
      <c r="F11" s="19" t="s">
        <v>19</v>
      </c>
      <c r="G11" s="19" t="s">
        <v>31</v>
      </c>
      <c r="H11" s="18" t="s">
        <v>21</v>
      </c>
      <c r="I11" s="18" t="s">
        <v>22</v>
      </c>
      <c r="J11" s="18" t="s">
        <v>23</v>
      </c>
      <c r="K11" s="51" t="s">
        <v>32</v>
      </c>
      <c r="L11" s="21"/>
    </row>
    <row r="12" spans="2:12" ht="14.5" customHeight="1" x14ac:dyDescent="0.35">
      <c r="B12" s="17" t="s">
        <v>33</v>
      </c>
      <c r="C12" s="17" t="s">
        <v>34</v>
      </c>
      <c r="D12" s="17" t="s">
        <v>17</v>
      </c>
      <c r="E12" s="18" t="s">
        <v>35</v>
      </c>
      <c r="F12" s="19" t="s">
        <v>36</v>
      </c>
      <c r="G12" s="19" t="s">
        <v>37</v>
      </c>
      <c r="H12" s="18" t="s">
        <v>21</v>
      </c>
      <c r="I12" s="18" t="s">
        <v>22</v>
      </c>
      <c r="J12" s="18" t="s">
        <v>38</v>
      </c>
      <c r="K12" s="23" t="s">
        <v>39</v>
      </c>
      <c r="L12" s="21"/>
    </row>
    <row r="13" spans="2:12" ht="14.5" customHeight="1" x14ac:dyDescent="0.35">
      <c r="B13" s="17" t="s">
        <v>40</v>
      </c>
      <c r="C13" s="17" t="s">
        <v>41</v>
      </c>
      <c r="D13" s="17" t="s">
        <v>17</v>
      </c>
      <c r="E13" s="18" t="s">
        <v>18</v>
      </c>
      <c r="F13" s="19" t="s">
        <v>19</v>
      </c>
      <c r="G13" s="19" t="s">
        <v>42</v>
      </c>
      <c r="H13" s="18" t="s">
        <v>21</v>
      </c>
      <c r="I13" s="18" t="s">
        <v>22</v>
      </c>
      <c r="J13" s="18" t="s">
        <v>23</v>
      </c>
      <c r="K13" s="23" t="s">
        <v>43</v>
      </c>
      <c r="L13" s="21"/>
    </row>
    <row r="14" spans="2:12" ht="14.5" customHeight="1" x14ac:dyDescent="0.35">
      <c r="B14" s="18" t="s">
        <v>44</v>
      </c>
      <c r="C14" s="18" t="s">
        <v>45</v>
      </c>
      <c r="D14" s="17" t="s">
        <v>17</v>
      </c>
      <c r="E14" s="18" t="s">
        <v>18</v>
      </c>
      <c r="F14" s="81" t="s">
        <v>46</v>
      </c>
      <c r="G14" s="81" t="s">
        <v>47</v>
      </c>
      <c r="H14" s="18" t="s">
        <v>21</v>
      </c>
      <c r="I14" s="18" t="s">
        <v>22</v>
      </c>
      <c r="J14" s="18" t="s">
        <v>23</v>
      </c>
      <c r="K14" s="82" t="s">
        <v>48</v>
      </c>
      <c r="L14" s="21"/>
    </row>
    <row r="15" spans="2:12" ht="14.5" customHeight="1" x14ac:dyDescent="0.35">
      <c r="B15" s="23" t="s">
        <v>49</v>
      </c>
      <c r="C15" s="18" t="s">
        <v>50</v>
      </c>
      <c r="D15" s="17" t="s">
        <v>17</v>
      </c>
      <c r="E15" s="18" t="s">
        <v>18</v>
      </c>
      <c r="F15" s="19" t="s">
        <v>19</v>
      </c>
      <c r="G15" s="19" t="s">
        <v>51</v>
      </c>
      <c r="H15" s="18" t="s">
        <v>21</v>
      </c>
      <c r="I15" s="18" t="s">
        <v>22</v>
      </c>
      <c r="J15" s="18" t="s">
        <v>23</v>
      </c>
      <c r="K15" s="52" t="s">
        <v>52</v>
      </c>
      <c r="L15" s="21"/>
    </row>
    <row r="16" spans="2:12" ht="14.5" customHeight="1" x14ac:dyDescent="0.35">
      <c r="B16" s="18" t="s">
        <v>53</v>
      </c>
      <c r="C16" s="18" t="s">
        <v>54</v>
      </c>
      <c r="D16" s="17" t="s">
        <v>17</v>
      </c>
      <c r="E16" s="18" t="s">
        <v>35</v>
      </c>
      <c r="F16" s="19" t="s">
        <v>19</v>
      </c>
      <c r="G16" s="19" t="s">
        <v>55</v>
      </c>
      <c r="H16" s="18" t="s">
        <v>21</v>
      </c>
      <c r="I16" s="18" t="s">
        <v>22</v>
      </c>
      <c r="J16" s="18" t="s">
        <v>38</v>
      </c>
      <c r="K16" s="23" t="s">
        <v>56</v>
      </c>
      <c r="L16" s="21"/>
    </row>
    <row r="17" spans="2:12" ht="14.5" customHeight="1" x14ac:dyDescent="0.35">
      <c r="B17" s="18" t="s">
        <v>57</v>
      </c>
      <c r="C17" s="18" t="s">
        <v>58</v>
      </c>
      <c r="D17" s="17" t="s">
        <v>17</v>
      </c>
      <c r="E17" s="18" t="s">
        <v>35</v>
      </c>
      <c r="F17" s="19" t="s">
        <v>36</v>
      </c>
      <c r="G17" s="19" t="s">
        <v>59</v>
      </c>
      <c r="H17" s="18" t="s">
        <v>21</v>
      </c>
      <c r="I17" s="18" t="s">
        <v>22</v>
      </c>
      <c r="J17" s="18" t="s">
        <v>38</v>
      </c>
      <c r="K17" s="23" t="s">
        <v>60</v>
      </c>
      <c r="L17" s="21"/>
    </row>
    <row r="18" spans="2:12" ht="14.5" customHeight="1" x14ac:dyDescent="0.35">
      <c r="B18" s="18" t="s">
        <v>61</v>
      </c>
      <c r="C18" s="18" t="s">
        <v>62</v>
      </c>
      <c r="D18" s="17" t="s">
        <v>17</v>
      </c>
      <c r="E18" s="18" t="s">
        <v>18</v>
      </c>
      <c r="F18" s="81" t="s">
        <v>63</v>
      </c>
      <c r="G18" s="81" t="s">
        <v>64</v>
      </c>
      <c r="H18" s="18" t="s">
        <v>21</v>
      </c>
      <c r="I18" s="18" t="s">
        <v>22</v>
      </c>
      <c r="J18" s="18" t="s">
        <v>23</v>
      </c>
      <c r="K18" s="83" t="s">
        <v>65</v>
      </c>
      <c r="L18" s="21"/>
    </row>
    <row r="19" spans="2:12" ht="14.5" customHeight="1" x14ac:dyDescent="0.35">
      <c r="B19" s="23" t="s">
        <v>66</v>
      </c>
      <c r="C19" s="18" t="s">
        <v>67</v>
      </c>
      <c r="D19" s="17" t="s">
        <v>17</v>
      </c>
      <c r="E19" s="18" t="s">
        <v>18</v>
      </c>
      <c r="F19" s="19" t="s">
        <v>19</v>
      </c>
      <c r="G19" s="19" t="s">
        <v>68</v>
      </c>
      <c r="H19" s="18" t="s">
        <v>21</v>
      </c>
      <c r="I19" s="18" t="s">
        <v>22</v>
      </c>
      <c r="J19" s="18" t="s">
        <v>23</v>
      </c>
      <c r="K19" s="22" t="s">
        <v>69</v>
      </c>
      <c r="L19" s="21"/>
    </row>
    <row r="20" spans="2:12" ht="14.5" customHeight="1" x14ac:dyDescent="0.35">
      <c r="B20" s="23" t="s">
        <v>70</v>
      </c>
      <c r="C20" s="18" t="s">
        <v>71</v>
      </c>
      <c r="D20" s="17" t="s">
        <v>17</v>
      </c>
      <c r="E20" s="18" t="s">
        <v>18</v>
      </c>
      <c r="F20" s="19" t="s">
        <v>19</v>
      </c>
      <c r="G20" s="19" t="s">
        <v>72</v>
      </c>
      <c r="H20" s="18" t="s">
        <v>21</v>
      </c>
      <c r="I20" s="18" t="s">
        <v>22</v>
      </c>
      <c r="J20" s="18" t="s">
        <v>23</v>
      </c>
      <c r="K20" s="51" t="s">
        <v>73</v>
      </c>
      <c r="L20" s="21"/>
    </row>
    <row r="21" spans="2:12" ht="14.5" customHeight="1" x14ac:dyDescent="0.35">
      <c r="B21" s="23" t="s">
        <v>74</v>
      </c>
      <c r="C21" s="18" t="s">
        <v>75</v>
      </c>
      <c r="D21" s="17" t="s">
        <v>17</v>
      </c>
      <c r="E21" s="18" t="s">
        <v>18</v>
      </c>
      <c r="F21" s="19" t="s">
        <v>19</v>
      </c>
      <c r="G21" s="19" t="s">
        <v>76</v>
      </c>
      <c r="H21" s="18" t="s">
        <v>21</v>
      </c>
      <c r="I21" s="18" t="s">
        <v>22</v>
      </c>
      <c r="J21" s="18" t="s">
        <v>23</v>
      </c>
      <c r="K21" s="22" t="s">
        <v>77</v>
      </c>
      <c r="L21" s="21"/>
    </row>
    <row r="22" spans="2:12" ht="14.5" customHeight="1" x14ac:dyDescent="0.35">
      <c r="B22" s="18" t="s">
        <v>78</v>
      </c>
      <c r="C22" s="18" t="s">
        <v>79</v>
      </c>
      <c r="D22" s="17" t="s">
        <v>17</v>
      </c>
      <c r="E22" s="18" t="s">
        <v>18</v>
      </c>
      <c r="F22" s="19" t="s">
        <v>19</v>
      </c>
      <c r="G22" s="19" t="s">
        <v>80</v>
      </c>
      <c r="H22" s="18" t="s">
        <v>21</v>
      </c>
      <c r="I22" s="18" t="s">
        <v>22</v>
      </c>
      <c r="J22" s="18" t="s">
        <v>23</v>
      </c>
      <c r="K22" s="23" t="s">
        <v>81</v>
      </c>
      <c r="L22" s="21"/>
    </row>
    <row r="23" spans="2:12" ht="14.5" customHeight="1" x14ac:dyDescent="0.35">
      <c r="B23" s="23" t="s">
        <v>82</v>
      </c>
      <c r="C23" s="18" t="s">
        <v>50</v>
      </c>
      <c r="D23" s="17" t="s">
        <v>17</v>
      </c>
      <c r="E23" s="18" t="s">
        <v>18</v>
      </c>
      <c r="F23" s="19" t="s">
        <v>19</v>
      </c>
      <c r="G23" s="19" t="s">
        <v>83</v>
      </c>
      <c r="H23" s="18" t="s">
        <v>21</v>
      </c>
      <c r="I23" s="18" t="s">
        <v>22</v>
      </c>
      <c r="J23" s="18" t="s">
        <v>23</v>
      </c>
      <c r="K23" s="52" t="s">
        <v>52</v>
      </c>
      <c r="L23" s="21"/>
    </row>
    <row r="24" spans="2:12" ht="54.75" customHeight="1" x14ac:dyDescent="0.35">
      <c r="B24" s="18" t="s">
        <v>84</v>
      </c>
      <c r="C24" s="18" t="s">
        <v>85</v>
      </c>
      <c r="D24" s="17" t="s">
        <v>17</v>
      </c>
      <c r="E24" s="18" t="s">
        <v>18</v>
      </c>
      <c r="F24" s="66" t="s">
        <v>19</v>
      </c>
      <c r="G24" s="67" t="s">
        <v>86</v>
      </c>
      <c r="H24" s="18" t="s">
        <v>21</v>
      </c>
      <c r="I24" s="18" t="s">
        <v>22</v>
      </c>
      <c r="J24" s="18" t="s">
        <v>23</v>
      </c>
      <c r="K24" s="66" t="s">
        <v>87</v>
      </c>
      <c r="L24" s="21"/>
    </row>
    <row r="25" spans="2:12" ht="14.5" customHeight="1" x14ac:dyDescent="0.35">
      <c r="B25" s="23" t="s">
        <v>88</v>
      </c>
      <c r="C25" s="18" t="s">
        <v>89</v>
      </c>
      <c r="D25" s="17" t="s">
        <v>17</v>
      </c>
      <c r="E25" s="18" t="s">
        <v>18</v>
      </c>
      <c r="F25" s="19" t="s">
        <v>90</v>
      </c>
      <c r="G25" s="21"/>
      <c r="H25" s="18" t="s">
        <v>21</v>
      </c>
      <c r="I25" s="18" t="s">
        <v>22</v>
      </c>
      <c r="J25" s="18" t="s">
        <v>23</v>
      </c>
      <c r="K25" s="50" t="s">
        <v>91</v>
      </c>
      <c r="L25" s="21"/>
    </row>
    <row r="26" spans="2:12" ht="14.5" customHeight="1" x14ac:dyDescent="0.35">
      <c r="B26" s="23" t="s">
        <v>92</v>
      </c>
      <c r="C26" s="18" t="s">
        <v>71</v>
      </c>
      <c r="D26" s="17" t="s">
        <v>17</v>
      </c>
      <c r="E26" s="18" t="s">
        <v>18</v>
      </c>
      <c r="F26" s="19" t="s">
        <v>19</v>
      </c>
      <c r="G26" s="19" t="s">
        <v>72</v>
      </c>
      <c r="H26" s="18" t="s">
        <v>21</v>
      </c>
      <c r="I26" s="18" t="s">
        <v>22</v>
      </c>
      <c r="J26" s="18" t="s">
        <v>23</v>
      </c>
      <c r="K26" s="51" t="s">
        <v>73</v>
      </c>
      <c r="L26" s="21"/>
    </row>
    <row r="27" spans="2:12" ht="14.5" customHeight="1" x14ac:dyDescent="0.35">
      <c r="B27" s="18" t="s">
        <v>93</v>
      </c>
      <c r="C27" s="18" t="s">
        <v>94</v>
      </c>
      <c r="D27" s="17" t="s">
        <v>17</v>
      </c>
      <c r="E27" s="18" t="s">
        <v>35</v>
      </c>
      <c r="F27" s="21" t="s">
        <v>95</v>
      </c>
      <c r="G27" s="21" t="s">
        <v>96</v>
      </c>
      <c r="H27" s="18" t="s">
        <v>21</v>
      </c>
      <c r="I27" s="18" t="s">
        <v>22</v>
      </c>
      <c r="J27" s="18" t="s">
        <v>38</v>
      </c>
      <c r="K27" s="20" t="s">
        <v>97</v>
      </c>
      <c r="L27" s="21"/>
    </row>
    <row r="28" spans="2:12" ht="14.5" customHeight="1" x14ac:dyDescent="0.35">
      <c r="B28" s="18" t="s">
        <v>98</v>
      </c>
      <c r="C28" s="18" t="s">
        <v>99</v>
      </c>
      <c r="D28" s="17" t="s">
        <v>17</v>
      </c>
      <c r="E28" s="18" t="s">
        <v>100</v>
      </c>
      <c r="F28" s="21" t="s">
        <v>101</v>
      </c>
      <c r="G28" s="21" t="s">
        <v>102</v>
      </c>
      <c r="H28" s="18" t="s">
        <v>21</v>
      </c>
      <c r="I28" s="18" t="s">
        <v>22</v>
      </c>
      <c r="J28" s="18" t="s">
        <v>100</v>
      </c>
      <c r="K28" s="23" t="s">
        <v>103</v>
      </c>
      <c r="L28" s="21"/>
    </row>
    <row r="29" spans="2:12" ht="14.5" customHeight="1" x14ac:dyDescent="0.35">
      <c r="B29" s="18" t="s">
        <v>104</v>
      </c>
      <c r="C29" s="18" t="s">
        <v>58</v>
      </c>
      <c r="D29" s="17" t="s">
        <v>17</v>
      </c>
      <c r="E29" s="18" t="s">
        <v>35</v>
      </c>
      <c r="F29" s="19" t="s">
        <v>36</v>
      </c>
      <c r="G29" s="19" t="s">
        <v>105</v>
      </c>
      <c r="H29" s="18" t="s">
        <v>21</v>
      </c>
      <c r="I29" s="18" t="s">
        <v>22</v>
      </c>
      <c r="J29" s="18" t="s">
        <v>38</v>
      </c>
      <c r="K29" s="23" t="s">
        <v>106</v>
      </c>
      <c r="L29" s="21"/>
    </row>
    <row r="30" spans="2:12" ht="14.5" customHeight="1" x14ac:dyDescent="0.35">
      <c r="B30" s="18" t="s">
        <v>107</v>
      </c>
      <c r="C30" s="18" t="s">
        <v>54</v>
      </c>
      <c r="D30" s="17" t="s">
        <v>17</v>
      </c>
      <c r="E30" s="18" t="s">
        <v>35</v>
      </c>
      <c r="F30" s="19" t="s">
        <v>19</v>
      </c>
      <c r="G30" s="19" t="s">
        <v>108</v>
      </c>
      <c r="H30" s="18" t="s">
        <v>21</v>
      </c>
      <c r="I30" s="18" t="s">
        <v>22</v>
      </c>
      <c r="J30" s="18" t="s">
        <v>38</v>
      </c>
      <c r="K30" s="22" t="s">
        <v>56</v>
      </c>
      <c r="L30" s="21"/>
    </row>
    <row r="31" spans="2:12" ht="14.5" customHeight="1" x14ac:dyDescent="0.35">
      <c r="B31" s="18" t="s">
        <v>109</v>
      </c>
      <c r="C31" s="18" t="s">
        <v>110</v>
      </c>
      <c r="D31" s="17" t="s">
        <v>17</v>
      </c>
      <c r="E31" s="18" t="s">
        <v>35</v>
      </c>
      <c r="F31" s="19" t="s">
        <v>19</v>
      </c>
      <c r="G31" s="19" t="s">
        <v>108</v>
      </c>
      <c r="H31" s="18" t="s">
        <v>21</v>
      </c>
      <c r="I31" s="18" t="s">
        <v>22</v>
      </c>
      <c r="J31" s="18" t="s">
        <v>38</v>
      </c>
      <c r="K31" s="23" t="s">
        <v>56</v>
      </c>
      <c r="L31" s="21"/>
    </row>
    <row r="32" spans="2:12" ht="14.5" customHeight="1" x14ac:dyDescent="0.35">
      <c r="B32" s="23" t="s">
        <v>111</v>
      </c>
      <c r="C32" s="18" t="s">
        <v>112</v>
      </c>
      <c r="D32" s="17" t="s">
        <v>17</v>
      </c>
      <c r="E32" s="18" t="s">
        <v>113</v>
      </c>
      <c r="F32" s="49" t="s">
        <v>114</v>
      </c>
      <c r="G32" s="21" t="s">
        <v>112</v>
      </c>
      <c r="H32" s="18" t="s">
        <v>21</v>
      </c>
      <c r="I32" s="18" t="s">
        <v>22</v>
      </c>
      <c r="J32" s="18" t="s">
        <v>38</v>
      </c>
      <c r="K32" s="20" t="s">
        <v>115</v>
      </c>
      <c r="L32" s="21"/>
    </row>
    <row r="33" spans="2:12" ht="14.5" customHeight="1" x14ac:dyDescent="0.35">
      <c r="B33" s="23" t="s">
        <v>116</v>
      </c>
      <c r="C33" s="18" t="s">
        <v>117</v>
      </c>
      <c r="D33" s="17" t="s">
        <v>17</v>
      </c>
      <c r="E33" s="18" t="s">
        <v>113</v>
      </c>
      <c r="F33" s="49" t="s">
        <v>114</v>
      </c>
      <c r="G33" s="21" t="s">
        <v>118</v>
      </c>
      <c r="H33" s="18" t="s">
        <v>21</v>
      </c>
      <c r="I33" s="18" t="s">
        <v>22</v>
      </c>
      <c r="J33" s="18" t="s">
        <v>38</v>
      </c>
      <c r="K33" s="20" t="s">
        <v>119</v>
      </c>
      <c r="L33" s="21"/>
    </row>
    <row r="34" spans="2:12" ht="14.5" customHeight="1" x14ac:dyDescent="0.35">
      <c r="B34" s="23" t="s">
        <v>120</v>
      </c>
      <c r="C34" s="18" t="s">
        <v>121</v>
      </c>
      <c r="D34" s="17" t="s">
        <v>17</v>
      </c>
      <c r="E34" s="18" t="s">
        <v>113</v>
      </c>
      <c r="F34" s="49" t="s">
        <v>122</v>
      </c>
      <c r="G34" s="19" t="s">
        <v>123</v>
      </c>
      <c r="H34" s="18" t="s">
        <v>21</v>
      </c>
      <c r="I34" s="18" t="s">
        <v>22</v>
      </c>
      <c r="J34" s="18" t="s">
        <v>23</v>
      </c>
      <c r="K34" s="20" t="s">
        <v>124</v>
      </c>
      <c r="L34" s="21"/>
    </row>
    <row r="35" spans="2:12" ht="14.5" customHeight="1" x14ac:dyDescent="0.35">
      <c r="B35" s="23" t="s">
        <v>125</v>
      </c>
      <c r="C35" s="18" t="s">
        <v>126</v>
      </c>
      <c r="D35" s="17" t="s">
        <v>17</v>
      </c>
      <c r="E35" s="18" t="s">
        <v>113</v>
      </c>
      <c r="F35" s="49" t="s">
        <v>122</v>
      </c>
      <c r="G35" s="19" t="s">
        <v>127</v>
      </c>
      <c r="H35" s="18" t="s">
        <v>21</v>
      </c>
      <c r="I35" s="18" t="s">
        <v>22</v>
      </c>
      <c r="J35" s="18" t="s">
        <v>23</v>
      </c>
      <c r="K35" s="20" t="s">
        <v>128</v>
      </c>
      <c r="L35" s="21"/>
    </row>
    <row r="36" spans="2:12" ht="14.5" customHeight="1" x14ac:dyDescent="0.35">
      <c r="B36" s="23" t="s">
        <v>129</v>
      </c>
      <c r="C36" s="18" t="s">
        <v>130</v>
      </c>
      <c r="D36" s="17" t="s">
        <v>17</v>
      </c>
      <c r="E36" s="18" t="s">
        <v>113</v>
      </c>
      <c r="F36" s="49" t="s">
        <v>122</v>
      </c>
      <c r="G36" s="19" t="s">
        <v>131</v>
      </c>
      <c r="H36" s="18" t="s">
        <v>21</v>
      </c>
      <c r="I36" s="18" t="s">
        <v>22</v>
      </c>
      <c r="J36" s="18" t="s">
        <v>23</v>
      </c>
      <c r="K36" s="20" t="s">
        <v>132</v>
      </c>
      <c r="L36" s="21"/>
    </row>
    <row r="37" spans="2:12" ht="14.5" customHeight="1" x14ac:dyDescent="0.35">
      <c r="B37" s="18" t="s">
        <v>133</v>
      </c>
      <c r="C37" s="18" t="s">
        <v>134</v>
      </c>
      <c r="D37" s="17" t="s">
        <v>17</v>
      </c>
      <c r="E37" s="18" t="s">
        <v>18</v>
      </c>
      <c r="F37" s="19" t="s">
        <v>135</v>
      </c>
      <c r="G37" s="19" t="s">
        <v>136</v>
      </c>
      <c r="H37" s="18" t="s">
        <v>21</v>
      </c>
      <c r="I37" s="18" t="s">
        <v>22</v>
      </c>
      <c r="J37" s="18" t="s">
        <v>137</v>
      </c>
      <c r="K37" s="20" t="s">
        <v>138</v>
      </c>
      <c r="L37" s="21"/>
    </row>
    <row r="38" spans="2:12" ht="14.5" customHeight="1" x14ac:dyDescent="0.35">
      <c r="B38" s="58" t="s">
        <v>139</v>
      </c>
      <c r="C38" s="26" t="s">
        <v>140</v>
      </c>
      <c r="D38" s="68" t="s">
        <v>17</v>
      </c>
      <c r="E38" s="26" t="s">
        <v>18</v>
      </c>
      <c r="F38" s="56" t="s">
        <v>141</v>
      </c>
      <c r="G38" s="56" t="s">
        <v>142</v>
      </c>
      <c r="H38" s="26" t="s">
        <v>21</v>
      </c>
      <c r="I38" s="26" t="s">
        <v>22</v>
      </c>
      <c r="J38" s="26" t="s">
        <v>137</v>
      </c>
      <c r="K38" s="80" t="s">
        <v>143</v>
      </c>
      <c r="L38" s="56" t="s">
        <v>144</v>
      </c>
    </row>
    <row r="39" spans="2:12" ht="14.5" customHeight="1" x14ac:dyDescent="0.35">
      <c r="B39" s="23" t="s">
        <v>145</v>
      </c>
      <c r="C39" s="18" t="s">
        <v>146</v>
      </c>
      <c r="D39" s="17" t="s">
        <v>17</v>
      </c>
      <c r="E39" s="18" t="s">
        <v>18</v>
      </c>
      <c r="F39" s="21" t="s">
        <v>95</v>
      </c>
      <c r="G39" s="21" t="s">
        <v>147</v>
      </c>
      <c r="H39" s="18" t="s">
        <v>21</v>
      </c>
      <c r="I39" s="18" t="s">
        <v>22</v>
      </c>
      <c r="J39" s="18" t="s">
        <v>23</v>
      </c>
      <c r="K39" s="20" t="s">
        <v>148</v>
      </c>
      <c r="L39" s="21"/>
    </row>
    <row r="40" spans="2:12" ht="14.5" customHeight="1" x14ac:dyDescent="0.35">
      <c r="B40" s="18" t="s">
        <v>149</v>
      </c>
      <c r="C40" s="18" t="s">
        <v>150</v>
      </c>
      <c r="D40" s="17" t="s">
        <v>17</v>
      </c>
      <c r="E40" s="18" t="s">
        <v>151</v>
      </c>
      <c r="F40" s="19" t="s">
        <v>152</v>
      </c>
      <c r="G40" s="19" t="s">
        <v>153</v>
      </c>
      <c r="H40" s="18" t="s">
        <v>21</v>
      </c>
      <c r="I40" s="18" t="s">
        <v>22</v>
      </c>
      <c r="J40" s="18" t="s">
        <v>38</v>
      </c>
      <c r="K40" s="53"/>
      <c r="L40" s="21"/>
    </row>
    <row r="41" spans="2:12" ht="14.5" customHeight="1" x14ac:dyDescent="0.35">
      <c r="B41" s="18" t="s">
        <v>154</v>
      </c>
      <c r="C41" s="18" t="s">
        <v>85</v>
      </c>
      <c r="D41" s="17" t="s">
        <v>17</v>
      </c>
      <c r="E41" s="18" t="s">
        <v>151</v>
      </c>
      <c r="F41" s="19" t="s">
        <v>152</v>
      </c>
      <c r="G41" s="19" t="s">
        <v>155</v>
      </c>
      <c r="H41" s="18" t="s">
        <v>21</v>
      </c>
      <c r="I41" s="18" t="s">
        <v>22</v>
      </c>
      <c r="J41" s="18" t="s">
        <v>38</v>
      </c>
      <c r="K41" s="53"/>
      <c r="L41" s="21"/>
    </row>
    <row r="42" spans="2:12" ht="14.5" customHeight="1" x14ac:dyDescent="0.35">
      <c r="B42" s="18" t="s">
        <v>156</v>
      </c>
      <c r="C42" s="18" t="s">
        <v>85</v>
      </c>
      <c r="D42" s="17" t="s">
        <v>17</v>
      </c>
      <c r="E42" s="18" t="s">
        <v>151</v>
      </c>
      <c r="F42" s="19" t="s">
        <v>152</v>
      </c>
      <c r="G42" s="19" t="s">
        <v>155</v>
      </c>
      <c r="H42" s="18" t="s">
        <v>21</v>
      </c>
      <c r="I42" s="18" t="s">
        <v>22</v>
      </c>
      <c r="J42" s="18" t="s">
        <v>38</v>
      </c>
      <c r="K42" s="53"/>
      <c r="L42" s="21"/>
    </row>
    <row r="43" spans="2:12" ht="14.5" customHeight="1" x14ac:dyDescent="0.35">
      <c r="B43" s="23" t="s">
        <v>157</v>
      </c>
      <c r="C43" s="18" t="s">
        <v>158</v>
      </c>
      <c r="D43" s="17" t="s">
        <v>17</v>
      </c>
      <c r="E43" s="18" t="s">
        <v>151</v>
      </c>
      <c r="F43" s="19" t="s">
        <v>152</v>
      </c>
      <c r="G43" s="21"/>
      <c r="H43" s="18" t="s">
        <v>21</v>
      </c>
      <c r="I43" s="18" t="s">
        <v>22</v>
      </c>
      <c r="J43" s="18" t="s">
        <v>38</v>
      </c>
      <c r="K43" s="53"/>
      <c r="L43" s="21"/>
    </row>
    <row r="44" spans="2:12" ht="14.5" customHeight="1" x14ac:dyDescent="0.35">
      <c r="B44" s="23" t="s">
        <v>159</v>
      </c>
      <c r="C44" s="18" t="s">
        <v>160</v>
      </c>
      <c r="D44" s="17" t="s">
        <v>17</v>
      </c>
      <c r="E44" s="18" t="s">
        <v>151</v>
      </c>
      <c r="F44" s="19" t="s">
        <v>152</v>
      </c>
      <c r="G44" s="21"/>
      <c r="H44" s="18" t="s">
        <v>21</v>
      </c>
      <c r="I44" s="18" t="s">
        <v>22</v>
      </c>
      <c r="J44" s="18" t="s">
        <v>38</v>
      </c>
      <c r="K44" s="53"/>
      <c r="L44" s="21"/>
    </row>
    <row r="45" spans="2:12" ht="14.5" customHeight="1" x14ac:dyDescent="0.35">
      <c r="B45" s="30" t="s">
        <v>161</v>
      </c>
      <c r="C45" s="25" t="s">
        <v>162</v>
      </c>
      <c r="D45" s="68" t="s">
        <v>163</v>
      </c>
      <c r="E45" s="26"/>
      <c r="F45" s="56"/>
      <c r="G45" s="56"/>
      <c r="H45" s="26"/>
      <c r="I45" s="26"/>
      <c r="J45" s="26"/>
      <c r="K45" s="28"/>
      <c r="L45" s="79" t="s">
        <v>164</v>
      </c>
    </row>
    <row r="46" spans="2:12" s="2" customFormat="1" ht="14.5" customHeight="1" x14ac:dyDescent="0.35">
      <c r="B46" s="30" t="s">
        <v>165</v>
      </c>
      <c r="C46" s="25" t="s">
        <v>166</v>
      </c>
      <c r="D46" s="68" t="s">
        <v>163</v>
      </c>
      <c r="E46" s="26"/>
      <c r="F46" s="27"/>
      <c r="G46" s="27"/>
      <c r="H46" s="26"/>
      <c r="I46" s="26"/>
      <c r="J46" s="26"/>
      <c r="K46" s="28"/>
      <c r="L46" s="79" t="s">
        <v>164</v>
      </c>
    </row>
    <row r="47" spans="2:12" s="2" customFormat="1" ht="14.5" customHeight="1" x14ac:dyDescent="0.35">
      <c r="B47" s="30" t="s">
        <v>167</v>
      </c>
      <c r="C47" s="25" t="s">
        <v>168</v>
      </c>
      <c r="D47" s="68" t="s">
        <v>163</v>
      </c>
      <c r="E47" s="26"/>
      <c r="F47" s="27"/>
      <c r="G47" s="27"/>
      <c r="H47" s="26"/>
      <c r="I47" s="26"/>
      <c r="J47" s="26"/>
      <c r="K47" s="28"/>
      <c r="L47" s="79" t="s">
        <v>164</v>
      </c>
    </row>
    <row r="48" spans="2:12" ht="14.5" customHeight="1" x14ac:dyDescent="0.35">
      <c r="B48" s="30" t="s">
        <v>169</v>
      </c>
      <c r="C48" s="25" t="s">
        <v>170</v>
      </c>
      <c r="D48" s="68" t="s">
        <v>163</v>
      </c>
      <c r="E48" s="26"/>
      <c r="F48" s="27"/>
      <c r="G48" s="27"/>
      <c r="H48" s="27"/>
      <c r="I48" s="26"/>
      <c r="J48" s="26"/>
      <c r="K48" s="28"/>
      <c r="L48" s="79" t="s">
        <v>164</v>
      </c>
    </row>
    <row r="49" spans="2:12" s="2" customFormat="1" ht="14.5" customHeight="1" x14ac:dyDescent="0.35">
      <c r="B49" s="30" t="s">
        <v>171</v>
      </c>
      <c r="C49" s="25" t="s">
        <v>158</v>
      </c>
      <c r="D49" s="68" t="s">
        <v>172</v>
      </c>
      <c r="E49" s="26"/>
      <c r="F49" s="27"/>
      <c r="G49" s="27"/>
      <c r="H49" s="27"/>
      <c r="I49" s="26"/>
      <c r="J49" s="26"/>
      <c r="K49" s="28"/>
      <c r="L49" s="29" t="s">
        <v>173</v>
      </c>
    </row>
    <row r="50" spans="2:12" ht="14.5" customHeight="1" x14ac:dyDescent="0.35">
      <c r="B50" s="30" t="s">
        <v>174</v>
      </c>
      <c r="C50" s="25" t="s">
        <v>175</v>
      </c>
      <c r="D50" s="68" t="s">
        <v>172</v>
      </c>
      <c r="E50" s="26"/>
      <c r="F50" s="27"/>
      <c r="G50" s="27"/>
      <c r="H50" s="27"/>
      <c r="I50" s="26"/>
      <c r="J50" s="26"/>
      <c r="K50" s="28"/>
      <c r="L50" s="29" t="s">
        <v>173</v>
      </c>
    </row>
    <row r="51" spans="2:12" ht="14.5" customHeight="1" x14ac:dyDescent="0.35">
      <c r="B51" s="30" t="s">
        <v>176</v>
      </c>
      <c r="C51" s="25" t="s">
        <v>177</v>
      </c>
      <c r="D51" s="68" t="s">
        <v>172</v>
      </c>
      <c r="E51" s="26"/>
      <c r="F51" s="27"/>
      <c r="G51" s="27"/>
      <c r="H51" s="27"/>
      <c r="I51" s="26"/>
      <c r="J51" s="26"/>
      <c r="K51" s="28"/>
      <c r="L51" s="29" t="s">
        <v>173</v>
      </c>
    </row>
    <row r="52" spans="2:12" ht="14.5" customHeight="1" x14ac:dyDescent="0.35">
      <c r="B52" s="30" t="s">
        <v>178</v>
      </c>
      <c r="C52" s="25" t="s">
        <v>179</v>
      </c>
      <c r="D52" s="68" t="s">
        <v>172</v>
      </c>
      <c r="E52" s="26"/>
      <c r="F52" s="27"/>
      <c r="G52" s="27"/>
      <c r="H52" s="27"/>
      <c r="I52" s="26"/>
      <c r="J52" s="26"/>
      <c r="K52" s="28"/>
      <c r="L52" s="29" t="s">
        <v>173</v>
      </c>
    </row>
    <row r="53" spans="2:12" ht="14.5" customHeight="1" x14ac:dyDescent="0.35">
      <c r="B53" s="30" t="s">
        <v>180</v>
      </c>
      <c r="C53" s="25" t="s">
        <v>181</v>
      </c>
      <c r="D53" s="68" t="s">
        <v>172</v>
      </c>
      <c r="E53" s="26"/>
      <c r="F53" s="27"/>
      <c r="G53" s="27"/>
      <c r="H53" s="27"/>
      <c r="I53" s="26"/>
      <c r="J53" s="26"/>
      <c r="K53" s="28"/>
      <c r="L53" s="29" t="s">
        <v>173</v>
      </c>
    </row>
    <row r="54" spans="2:12" ht="14.5" customHeight="1" x14ac:dyDescent="0.35">
      <c r="B54" s="25" t="s">
        <v>182</v>
      </c>
      <c r="C54" s="25" t="s">
        <v>150</v>
      </c>
      <c r="D54" s="68" t="s">
        <v>163</v>
      </c>
      <c r="E54" s="26"/>
      <c r="F54" s="56"/>
      <c r="G54" s="27"/>
      <c r="H54" s="26"/>
      <c r="I54" s="26"/>
      <c r="J54" s="26"/>
      <c r="K54" s="28"/>
      <c r="L54" s="29" t="s">
        <v>173</v>
      </c>
    </row>
    <row r="55" spans="2:12" ht="14.5" customHeight="1" x14ac:dyDescent="0.35">
      <c r="B55" s="25" t="s">
        <v>183</v>
      </c>
      <c r="C55" s="25" t="s">
        <v>150</v>
      </c>
      <c r="D55" s="68" t="s">
        <v>163</v>
      </c>
      <c r="E55" s="26"/>
      <c r="F55" s="56"/>
      <c r="G55" s="56"/>
      <c r="H55" s="26"/>
      <c r="I55" s="26"/>
      <c r="J55" s="26"/>
      <c r="K55" s="28"/>
      <c r="L55" s="29" t="s">
        <v>173</v>
      </c>
    </row>
    <row r="56" spans="2:12" ht="14.5" customHeight="1" x14ac:dyDescent="0.35">
      <c r="B56" s="30" t="s">
        <v>184</v>
      </c>
      <c r="C56" s="25" t="s">
        <v>185</v>
      </c>
      <c r="D56" s="54" t="s">
        <v>172</v>
      </c>
      <c r="E56" s="26"/>
      <c r="F56" s="56"/>
      <c r="G56" s="56"/>
      <c r="H56" s="26"/>
      <c r="I56" s="26"/>
      <c r="J56" s="26"/>
      <c r="K56" s="57"/>
      <c r="L56" s="29" t="s">
        <v>186</v>
      </c>
    </row>
    <row r="57" spans="2:12" ht="14.5" customHeight="1" x14ac:dyDescent="0.35">
      <c r="B57" s="60" t="s">
        <v>187</v>
      </c>
      <c r="C57" s="60" t="s">
        <v>188</v>
      </c>
      <c r="D57" s="54" t="s">
        <v>172</v>
      </c>
      <c r="E57" s="26"/>
      <c r="F57" s="56"/>
      <c r="G57" s="56"/>
      <c r="H57" s="26"/>
      <c r="I57" s="26"/>
      <c r="J57" s="26"/>
      <c r="K57" s="58"/>
      <c r="L57" s="29" t="s">
        <v>186</v>
      </c>
    </row>
    <row r="58" spans="2:12" ht="14.5" customHeight="1" x14ac:dyDescent="0.35">
      <c r="B58" s="25" t="s">
        <v>189</v>
      </c>
      <c r="C58" s="25" t="s">
        <v>110</v>
      </c>
      <c r="D58" s="54" t="s">
        <v>172</v>
      </c>
      <c r="E58" s="26"/>
      <c r="F58" s="27"/>
      <c r="G58" s="27"/>
      <c r="H58" s="26"/>
      <c r="I58" s="26"/>
      <c r="J58" s="26"/>
      <c r="K58" s="59"/>
      <c r="L58" s="29" t="s">
        <v>186</v>
      </c>
    </row>
    <row r="59" spans="2:12" s="2" customFormat="1" ht="14.5" customHeight="1" x14ac:dyDescent="0.35">
      <c r="B59" s="60" t="s">
        <v>190</v>
      </c>
      <c r="C59" s="60" t="s">
        <v>191</v>
      </c>
      <c r="D59" s="54" t="s">
        <v>172</v>
      </c>
      <c r="E59" s="26"/>
      <c r="F59" s="27"/>
      <c r="G59" s="27"/>
      <c r="H59" s="26"/>
      <c r="I59" s="26"/>
      <c r="J59" s="26"/>
      <c r="K59" s="58"/>
      <c r="L59" s="29" t="s">
        <v>186</v>
      </c>
    </row>
    <row r="60" spans="2:12" ht="14.5" customHeight="1" x14ac:dyDescent="0.35">
      <c r="B60" s="60" t="s">
        <v>192</v>
      </c>
      <c r="C60" s="60" t="s">
        <v>193</v>
      </c>
      <c r="D60" s="54" t="s">
        <v>172</v>
      </c>
      <c r="E60" s="26"/>
      <c r="F60" s="27"/>
      <c r="G60" s="27"/>
      <c r="H60" s="26"/>
      <c r="I60" s="26"/>
      <c r="J60" s="26"/>
      <c r="K60" s="59"/>
      <c r="L60" s="29" t="s">
        <v>186</v>
      </c>
    </row>
    <row r="61" spans="2:12" s="2" customFormat="1" ht="14.5" customHeight="1" x14ac:dyDescent="0.35">
      <c r="B61" s="30" t="s">
        <v>194</v>
      </c>
      <c r="C61" s="25" t="s">
        <v>89</v>
      </c>
      <c r="D61" s="54" t="s">
        <v>172</v>
      </c>
      <c r="E61" s="26"/>
      <c r="F61" s="56"/>
      <c r="G61" s="27"/>
      <c r="H61" s="26"/>
      <c r="I61" s="26"/>
      <c r="J61" s="26"/>
      <c r="K61" s="55"/>
      <c r="L61" s="29" t="s">
        <v>186</v>
      </c>
    </row>
    <row r="62" spans="2:12" ht="14.5" customHeight="1" x14ac:dyDescent="0.35">
      <c r="B62" s="30" t="s">
        <v>195</v>
      </c>
      <c r="C62" s="25" t="s">
        <v>196</v>
      </c>
      <c r="D62" s="54" t="s">
        <v>172</v>
      </c>
      <c r="E62" s="26"/>
      <c r="F62" s="56"/>
      <c r="G62" s="56"/>
      <c r="H62" s="26"/>
      <c r="I62" s="26"/>
      <c r="J62" s="26"/>
      <c r="K62" s="55"/>
      <c r="L62" s="29" t="s">
        <v>186</v>
      </c>
    </row>
    <row r="63" spans="2:12" ht="14.5" customHeight="1" x14ac:dyDescent="0.35">
      <c r="B63" s="30" t="s">
        <v>197</v>
      </c>
      <c r="C63" s="25" t="s">
        <v>146</v>
      </c>
      <c r="D63" s="54" t="s">
        <v>172</v>
      </c>
      <c r="E63" s="26"/>
      <c r="F63" s="27"/>
      <c r="G63" s="27"/>
      <c r="H63" s="26"/>
      <c r="I63" s="26"/>
      <c r="J63" s="26"/>
      <c r="K63" s="59"/>
      <c r="L63" s="29" t="s">
        <v>186</v>
      </c>
    </row>
    <row r="64" spans="2:12" ht="14.5" customHeight="1" x14ac:dyDescent="0.35">
      <c r="B64" s="30" t="s">
        <v>198</v>
      </c>
      <c r="C64" s="25" t="s">
        <v>158</v>
      </c>
      <c r="D64" s="54" t="s">
        <v>172</v>
      </c>
      <c r="E64" s="26"/>
      <c r="F64" s="27"/>
      <c r="G64" s="27"/>
      <c r="H64" s="27"/>
      <c r="I64" s="26"/>
      <c r="J64" s="26"/>
      <c r="K64" s="28"/>
      <c r="L64" s="29" t="s">
        <v>199</v>
      </c>
    </row>
    <row r="65" spans="2:12" ht="14.5" customHeight="1" x14ac:dyDescent="0.35">
      <c r="B65" s="24" t="s">
        <v>200</v>
      </c>
      <c r="C65" s="25" t="s">
        <v>201</v>
      </c>
      <c r="D65" s="54" t="s">
        <v>172</v>
      </c>
      <c r="E65" s="26"/>
      <c r="F65" s="27"/>
      <c r="G65" s="27"/>
      <c r="H65" s="27"/>
      <c r="I65" s="26"/>
      <c r="J65" s="26"/>
      <c r="K65" s="28"/>
      <c r="L65" s="29" t="s">
        <v>199</v>
      </c>
    </row>
    <row r="66" spans="2:12" ht="14.5" customHeight="1" x14ac:dyDescent="0.35">
      <c r="B66" s="24" t="s">
        <v>202</v>
      </c>
      <c r="C66" s="25" t="s">
        <v>160</v>
      </c>
      <c r="D66" s="54" t="s">
        <v>172</v>
      </c>
      <c r="E66" s="26"/>
      <c r="F66" s="27"/>
      <c r="G66" s="27"/>
      <c r="H66" s="27"/>
      <c r="I66" s="26"/>
      <c r="J66" s="26"/>
      <c r="K66" s="28"/>
      <c r="L66" s="29" t="s">
        <v>199</v>
      </c>
    </row>
    <row r="67" spans="2:12" ht="14.5" customHeight="1" x14ac:dyDescent="0.35">
      <c r="B67" s="24" t="s">
        <v>203</v>
      </c>
      <c r="C67" s="25" t="s">
        <v>204</v>
      </c>
      <c r="D67" s="54" t="s">
        <v>172</v>
      </c>
      <c r="E67" s="26"/>
      <c r="F67" s="27"/>
      <c r="G67" s="27"/>
      <c r="H67" s="27"/>
      <c r="I67" s="26"/>
      <c r="J67" s="26"/>
      <c r="K67" s="28"/>
      <c r="L67" s="29" t="s">
        <v>199</v>
      </c>
    </row>
    <row r="68" spans="2:12" ht="14.5" customHeight="1" x14ac:dyDescent="0.35">
      <c r="B68" s="24" t="s">
        <v>205</v>
      </c>
      <c r="C68" s="25" t="s">
        <v>206</v>
      </c>
      <c r="D68" s="54" t="s">
        <v>172</v>
      </c>
      <c r="E68" s="26"/>
      <c r="F68" s="27"/>
      <c r="G68" s="27"/>
      <c r="H68" s="27"/>
      <c r="I68" s="26"/>
      <c r="J68" s="26"/>
      <c r="K68" s="28"/>
      <c r="L68" s="29" t="s">
        <v>199</v>
      </c>
    </row>
    <row r="69" spans="2:12" ht="14.5" customHeight="1" x14ac:dyDescent="0.35">
      <c r="B69" s="24" t="s">
        <v>207</v>
      </c>
      <c r="C69" s="25" t="s">
        <v>208</v>
      </c>
      <c r="D69" s="54" t="s">
        <v>172</v>
      </c>
      <c r="E69" s="26"/>
      <c r="F69" s="27"/>
      <c r="G69" s="27"/>
      <c r="H69" s="27"/>
      <c r="I69" s="26"/>
      <c r="J69" s="26"/>
      <c r="K69" s="28"/>
      <c r="L69" s="29" t="s">
        <v>199</v>
      </c>
    </row>
    <row r="70" spans="2:12" ht="14.5" customHeight="1" x14ac:dyDescent="0.35">
      <c r="B70" s="24" t="s">
        <v>209</v>
      </c>
      <c r="C70" s="25" t="s">
        <v>41</v>
      </c>
      <c r="D70" s="54" t="s">
        <v>163</v>
      </c>
      <c r="E70" s="26"/>
      <c r="F70" s="27"/>
      <c r="G70" s="27"/>
      <c r="H70" s="27"/>
      <c r="I70" s="26"/>
      <c r="J70" s="26"/>
      <c r="K70" s="28"/>
      <c r="L70" s="29" t="s">
        <v>210</v>
      </c>
    </row>
    <row r="71" spans="2:12" ht="14.5" customHeight="1" x14ac:dyDescent="0.35">
      <c r="B71" s="24" t="s">
        <v>211</v>
      </c>
      <c r="C71" s="25" t="s">
        <v>50</v>
      </c>
      <c r="D71" s="54" t="s">
        <v>163</v>
      </c>
      <c r="E71" s="26"/>
      <c r="F71" s="27"/>
      <c r="G71" s="27"/>
      <c r="H71" s="27"/>
      <c r="I71" s="26"/>
      <c r="J71" s="26"/>
      <c r="K71" s="28"/>
      <c r="L71" s="29" t="s">
        <v>210</v>
      </c>
    </row>
    <row r="72" spans="2:12" ht="14.5" customHeight="1" x14ac:dyDescent="0.35">
      <c r="B72" s="30" t="s">
        <v>212</v>
      </c>
      <c r="C72" s="25" t="s">
        <v>213</v>
      </c>
      <c r="D72" s="54" t="s">
        <v>163</v>
      </c>
      <c r="E72" s="26"/>
      <c r="F72" s="27"/>
      <c r="G72" s="27"/>
      <c r="H72" s="27"/>
      <c r="I72" s="26"/>
      <c r="J72" s="26"/>
      <c r="K72" s="28"/>
      <c r="L72" s="29" t="s">
        <v>210</v>
      </c>
    </row>
    <row r="73" spans="2:12" ht="14.5" customHeight="1" x14ac:dyDescent="0.35">
      <c r="B73" s="30" t="s">
        <v>214</v>
      </c>
      <c r="C73" s="25" t="s">
        <v>215</v>
      </c>
      <c r="D73" s="54" t="s">
        <v>163</v>
      </c>
      <c r="E73" s="26"/>
      <c r="F73" s="27"/>
      <c r="G73" s="27"/>
      <c r="H73" s="27"/>
      <c r="I73" s="26"/>
      <c r="J73" s="26"/>
      <c r="K73" s="28"/>
      <c r="L73" s="29" t="s">
        <v>210</v>
      </c>
    </row>
    <row r="74" spans="2:12" ht="14.5" customHeight="1" x14ac:dyDescent="0.35">
      <c r="B74" s="30" t="s">
        <v>216</v>
      </c>
      <c r="C74" s="25" t="s">
        <v>79</v>
      </c>
      <c r="D74" s="54" t="s">
        <v>163</v>
      </c>
      <c r="E74" s="26"/>
      <c r="F74" s="27"/>
      <c r="G74" s="27"/>
      <c r="H74" s="27"/>
      <c r="I74" s="26"/>
      <c r="J74" s="26"/>
      <c r="K74" s="28"/>
      <c r="L74" s="29" t="s">
        <v>210</v>
      </c>
    </row>
    <row r="75" spans="2:12" ht="14.5" customHeight="1" x14ac:dyDescent="0.35">
      <c r="B75" s="30" t="s">
        <v>217</v>
      </c>
      <c r="C75" s="25" t="s">
        <v>71</v>
      </c>
      <c r="D75" s="54" t="s">
        <v>163</v>
      </c>
      <c r="E75" s="26"/>
      <c r="F75" s="27"/>
      <c r="G75" s="27"/>
      <c r="H75" s="27"/>
      <c r="I75" s="26"/>
      <c r="J75" s="26"/>
      <c r="K75" s="28"/>
      <c r="L75" s="29" t="s">
        <v>210</v>
      </c>
    </row>
    <row r="76" spans="2:12" ht="14.5" customHeight="1" x14ac:dyDescent="0.35">
      <c r="B76" s="30" t="s">
        <v>218</v>
      </c>
      <c r="C76" s="25" t="s">
        <v>219</v>
      </c>
      <c r="D76" s="54" t="s">
        <v>163</v>
      </c>
      <c r="E76" s="26"/>
      <c r="F76" s="27"/>
      <c r="G76" s="27"/>
      <c r="H76" s="27"/>
      <c r="I76" s="26"/>
      <c r="J76" s="26"/>
      <c r="K76" s="28"/>
      <c r="L76" s="29" t="s">
        <v>210</v>
      </c>
    </row>
    <row r="77" spans="2:12" ht="14.5" customHeight="1" x14ac:dyDescent="0.35">
      <c r="B77" s="30" t="s">
        <v>220</v>
      </c>
      <c r="C77" s="25" t="s">
        <v>58</v>
      </c>
      <c r="D77" s="54" t="s">
        <v>163</v>
      </c>
      <c r="E77" s="26"/>
      <c r="F77" s="27"/>
      <c r="G77" s="27"/>
      <c r="H77" s="27"/>
      <c r="I77" s="26"/>
      <c r="J77" s="26"/>
      <c r="K77" s="28"/>
      <c r="L77" s="29" t="s">
        <v>221</v>
      </c>
    </row>
    <row r="78" spans="2:12" ht="14.5" customHeight="1" x14ac:dyDescent="0.35">
      <c r="B78" s="30" t="s">
        <v>222</v>
      </c>
      <c r="C78" s="25" t="s">
        <v>134</v>
      </c>
      <c r="D78" s="54" t="s">
        <v>163</v>
      </c>
      <c r="E78" s="26"/>
      <c r="F78" s="27"/>
      <c r="G78" s="27"/>
      <c r="H78" s="27"/>
      <c r="I78" s="26"/>
      <c r="J78" s="26"/>
      <c r="K78" s="28"/>
      <c r="L78" s="29" t="s">
        <v>221</v>
      </c>
    </row>
    <row r="79" spans="2:12" ht="14.5" customHeight="1" x14ac:dyDescent="0.35">
      <c r="B79" s="30" t="s">
        <v>223</v>
      </c>
      <c r="C79" s="25" t="s">
        <v>99</v>
      </c>
      <c r="D79" s="54" t="s">
        <v>163</v>
      </c>
      <c r="E79" s="26"/>
      <c r="F79" s="27"/>
      <c r="G79" s="27"/>
      <c r="H79" s="27"/>
      <c r="I79" s="26"/>
      <c r="J79" s="26"/>
      <c r="K79" s="28"/>
      <c r="L79" s="29" t="s">
        <v>221</v>
      </c>
    </row>
    <row r="80" spans="2:12" ht="14.5" customHeight="1" x14ac:dyDescent="0.35">
      <c r="B80" s="30" t="s">
        <v>224</v>
      </c>
      <c r="C80" s="25" t="s">
        <v>225</v>
      </c>
      <c r="D80" s="54" t="s">
        <v>163</v>
      </c>
      <c r="E80" s="26"/>
      <c r="F80" s="27"/>
      <c r="G80" s="27"/>
      <c r="H80" s="27"/>
      <c r="I80" s="26"/>
      <c r="J80" s="26"/>
      <c r="K80" s="28"/>
      <c r="L80" s="29" t="s">
        <v>226</v>
      </c>
    </row>
    <row r="81" spans="2:12" ht="14.5" customHeight="1" x14ac:dyDescent="0.35">
      <c r="B81" s="30" t="s">
        <v>227</v>
      </c>
      <c r="C81" s="25" t="s">
        <v>225</v>
      </c>
      <c r="D81" s="54" t="s">
        <v>163</v>
      </c>
      <c r="E81" s="26"/>
      <c r="F81" s="27"/>
      <c r="G81" s="27"/>
      <c r="H81" s="27"/>
      <c r="I81" s="26"/>
      <c r="J81" s="26"/>
      <c r="K81" s="28"/>
      <c r="L81" s="29" t="s">
        <v>226</v>
      </c>
    </row>
    <row r="82" spans="2:12" ht="14.5" customHeight="1" x14ac:dyDescent="0.35">
      <c r="B82" s="30" t="s">
        <v>228</v>
      </c>
      <c r="C82" s="25" t="s">
        <v>225</v>
      </c>
      <c r="D82" s="54" t="s">
        <v>163</v>
      </c>
      <c r="E82" s="26"/>
      <c r="F82" s="27"/>
      <c r="G82" s="27"/>
      <c r="H82" s="27"/>
      <c r="I82" s="26"/>
      <c r="J82" s="26"/>
      <c r="K82" s="28"/>
      <c r="L82" s="29" t="s">
        <v>226</v>
      </c>
    </row>
    <row r="83" spans="2:12" ht="57.75" customHeight="1" x14ac:dyDescent="0.35">
      <c r="B83" s="30" t="s">
        <v>229</v>
      </c>
      <c r="C83" s="25" t="s">
        <v>225</v>
      </c>
      <c r="D83" s="54" t="s">
        <v>163</v>
      </c>
      <c r="E83" s="26"/>
      <c r="F83" s="27"/>
      <c r="G83" s="27"/>
      <c r="H83" s="27"/>
      <c r="I83" s="26"/>
      <c r="J83" s="26"/>
      <c r="K83" s="28"/>
      <c r="L83" s="29" t="s">
        <v>226</v>
      </c>
    </row>
  </sheetData>
  <pageMargins left="0.7" right="0.7" top="0.75" bottom="0.75" header="0.3" footer="0.3"/>
  <pageSetup orientation="portrait" r:id="rId1"/>
  <headerFooter>
    <oddFooter>&amp;L2/7/2025&amp;CAXP Internal&amp;R1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09BE-D9B1-4712-9A7B-8DB2455670F3}">
  <dimension ref="A2:J10"/>
  <sheetViews>
    <sheetView showGridLines="0" topLeftCell="E1" workbookViewId="0">
      <selection activeCell="F23" sqref="F23"/>
    </sheetView>
  </sheetViews>
  <sheetFormatPr defaultRowHeight="14.25" customHeight="1" x14ac:dyDescent="0.35"/>
  <cols>
    <col min="1" max="1" width="2.26953125" customWidth="1"/>
    <col min="2" max="2" width="33.81640625" bestFit="1" customWidth="1"/>
    <col min="3" max="3" width="18.1796875" bestFit="1" customWidth="1"/>
    <col min="4" max="4" width="33" bestFit="1" customWidth="1"/>
    <col min="5" max="5" width="40.54296875" customWidth="1"/>
    <col min="6" max="6" width="17.7265625" bestFit="1" customWidth="1"/>
    <col min="7" max="7" width="22.7265625" bestFit="1" customWidth="1"/>
    <col min="8" max="8" width="25.7265625" customWidth="1"/>
    <col min="9" max="9" width="38.453125" customWidth="1"/>
    <col min="10" max="10" width="32.81640625" customWidth="1"/>
  </cols>
  <sheetData>
    <row r="2" spans="1:10" ht="14.25" customHeight="1" x14ac:dyDescent="0.35">
      <c r="A2" s="69"/>
      <c r="B2" s="77" t="s">
        <v>230</v>
      </c>
      <c r="C2" s="78" t="s">
        <v>5</v>
      </c>
      <c r="D2" s="78" t="s">
        <v>6</v>
      </c>
      <c r="E2" s="70" t="s">
        <v>231</v>
      </c>
      <c r="F2" s="70" t="s">
        <v>232</v>
      </c>
      <c r="G2" s="70" t="s">
        <v>10</v>
      </c>
      <c r="H2" s="71" t="s">
        <v>233</v>
      </c>
      <c r="I2" s="71" t="s">
        <v>234</v>
      </c>
      <c r="J2" s="71" t="s">
        <v>235</v>
      </c>
    </row>
    <row r="3" spans="1:10" ht="14.25" customHeight="1" x14ac:dyDescent="0.35">
      <c r="A3" s="72" t="s">
        <v>236</v>
      </c>
      <c r="B3" s="73" t="s">
        <v>104</v>
      </c>
      <c r="C3" s="74" t="s">
        <v>58</v>
      </c>
      <c r="D3" s="74" t="s">
        <v>17</v>
      </c>
      <c r="E3" s="75" t="s">
        <v>36</v>
      </c>
      <c r="F3" s="75" t="s">
        <v>105</v>
      </c>
      <c r="G3" s="74" t="s">
        <v>21</v>
      </c>
      <c r="H3" s="75" t="s">
        <v>172</v>
      </c>
      <c r="I3" s="75" t="s">
        <v>95</v>
      </c>
      <c r="J3" s="75" t="s">
        <v>237</v>
      </c>
    </row>
    <row r="4" spans="1:10" ht="14.25" customHeight="1" x14ac:dyDescent="0.35">
      <c r="A4" s="72" t="s">
        <v>236</v>
      </c>
      <c r="B4" s="76" t="s">
        <v>70</v>
      </c>
      <c r="C4" s="74" t="s">
        <v>71</v>
      </c>
      <c r="D4" s="74" t="s">
        <v>17</v>
      </c>
      <c r="E4" s="75" t="s">
        <v>19</v>
      </c>
      <c r="F4" s="75" t="s">
        <v>238</v>
      </c>
      <c r="G4" s="74" t="s">
        <v>21</v>
      </c>
      <c r="H4" s="75" t="s">
        <v>172</v>
      </c>
      <c r="I4" s="75" t="s">
        <v>239</v>
      </c>
      <c r="J4" s="75" t="s">
        <v>240</v>
      </c>
    </row>
    <row r="5" spans="1:10" ht="14.25" customHeight="1" x14ac:dyDescent="0.35">
      <c r="A5" s="72" t="s">
        <v>236</v>
      </c>
      <c r="B5" s="76" t="s">
        <v>92</v>
      </c>
      <c r="C5" s="74" t="s">
        <v>71</v>
      </c>
      <c r="D5" s="74" t="s">
        <v>17</v>
      </c>
      <c r="E5" s="75" t="s">
        <v>19</v>
      </c>
      <c r="F5" s="75" t="s">
        <v>238</v>
      </c>
      <c r="G5" s="74" t="s">
        <v>21</v>
      </c>
      <c r="H5" s="75" t="s">
        <v>172</v>
      </c>
      <c r="I5" s="75" t="s">
        <v>239</v>
      </c>
      <c r="J5" s="75" t="s">
        <v>240</v>
      </c>
    </row>
    <row r="6" spans="1:10" ht="14.25" customHeight="1" x14ac:dyDescent="0.35">
      <c r="A6" s="72" t="s">
        <v>236</v>
      </c>
      <c r="B6" s="73" t="s">
        <v>84</v>
      </c>
      <c r="C6" s="74" t="s">
        <v>85</v>
      </c>
      <c r="D6" s="74" t="s">
        <v>17</v>
      </c>
      <c r="E6" s="75" t="s">
        <v>19</v>
      </c>
      <c r="F6" s="75" t="s">
        <v>86</v>
      </c>
      <c r="G6" s="74" t="s">
        <v>21</v>
      </c>
      <c r="H6" s="75" t="s">
        <v>172</v>
      </c>
      <c r="I6" s="75" t="s">
        <v>239</v>
      </c>
      <c r="J6" s="75" t="s">
        <v>240</v>
      </c>
    </row>
    <row r="7" spans="1:10" ht="14.25" customHeight="1" x14ac:dyDescent="0.35">
      <c r="A7" s="72" t="s">
        <v>236</v>
      </c>
      <c r="B7" s="73" t="s">
        <v>53</v>
      </c>
      <c r="C7" s="74" t="s">
        <v>54</v>
      </c>
      <c r="D7" s="74" t="s">
        <v>17</v>
      </c>
      <c r="E7" s="75" t="s">
        <v>19</v>
      </c>
      <c r="F7" s="75" t="s">
        <v>55</v>
      </c>
      <c r="G7" s="74" t="s">
        <v>21</v>
      </c>
      <c r="H7" s="75" t="s">
        <v>172</v>
      </c>
      <c r="I7" s="75" t="s">
        <v>239</v>
      </c>
      <c r="J7" s="75" t="s">
        <v>240</v>
      </c>
    </row>
    <row r="8" spans="1:10" ht="14.25" customHeight="1" x14ac:dyDescent="0.35">
      <c r="A8" s="72" t="s">
        <v>236</v>
      </c>
      <c r="B8" s="73" t="s">
        <v>107</v>
      </c>
      <c r="C8" s="74" t="s">
        <v>54</v>
      </c>
      <c r="D8" s="74" t="s">
        <v>17</v>
      </c>
      <c r="E8" s="75" t="s">
        <v>19</v>
      </c>
      <c r="F8" s="75" t="s">
        <v>55</v>
      </c>
      <c r="G8" s="74" t="s">
        <v>21</v>
      </c>
      <c r="H8" s="75" t="s">
        <v>172</v>
      </c>
      <c r="I8" s="75" t="s">
        <v>239</v>
      </c>
      <c r="J8" s="75" t="s">
        <v>240</v>
      </c>
    </row>
    <row r="9" spans="1:10" ht="14.25" customHeight="1" x14ac:dyDescent="0.35">
      <c r="A9" s="72" t="s">
        <v>236</v>
      </c>
      <c r="B9" s="73" t="s">
        <v>109</v>
      </c>
      <c r="C9" s="74" t="s">
        <v>110</v>
      </c>
      <c r="D9" s="74" t="s">
        <v>17</v>
      </c>
      <c r="E9" s="75" t="s">
        <v>19</v>
      </c>
      <c r="F9" s="75" t="s">
        <v>55</v>
      </c>
      <c r="G9" s="74" t="s">
        <v>21</v>
      </c>
      <c r="H9" s="75" t="s">
        <v>172</v>
      </c>
      <c r="I9" s="75" t="s">
        <v>239</v>
      </c>
      <c r="J9" s="75" t="s">
        <v>240</v>
      </c>
    </row>
    <row r="10" spans="1:10" ht="14.25" customHeight="1" x14ac:dyDescent="0.35">
      <c r="A10" s="72" t="s">
        <v>236</v>
      </c>
      <c r="B10" s="73" t="s">
        <v>57</v>
      </c>
      <c r="C10" s="74" t="s">
        <v>58</v>
      </c>
      <c r="D10" s="74" t="s">
        <v>17</v>
      </c>
      <c r="E10" s="75" t="s">
        <v>36</v>
      </c>
      <c r="F10" s="75" t="s">
        <v>59</v>
      </c>
      <c r="G10" s="74" t="s">
        <v>21</v>
      </c>
      <c r="H10" s="75" t="s">
        <v>172</v>
      </c>
      <c r="I10" s="75" t="s">
        <v>95</v>
      </c>
      <c r="J10" s="75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265D-A083-4CCF-9967-EA0C07707031}">
  <dimension ref="A1:BW102"/>
  <sheetViews>
    <sheetView tabSelected="1" topLeftCell="AO1" workbookViewId="0">
      <selection activeCell="A2" sqref="A2"/>
    </sheetView>
  </sheetViews>
  <sheetFormatPr defaultColWidth="9.1796875" defaultRowHeight="14.5" customHeight="1" x14ac:dyDescent="0.35"/>
  <cols>
    <col min="1" max="1" width="14.54296875" style="6" bestFit="1" customWidth="1"/>
    <col min="2" max="2" width="8.7265625" style="6" bestFit="1" customWidth="1"/>
    <col min="3" max="3" width="18.453125" style="6" bestFit="1" customWidth="1"/>
    <col min="4" max="4" width="12.54296875" style="6" bestFit="1" customWidth="1"/>
    <col min="5" max="5" width="13" style="6" bestFit="1" customWidth="1"/>
    <col min="6" max="6" width="8" style="6" bestFit="1" customWidth="1"/>
    <col min="7" max="7" width="3" style="6" bestFit="1" customWidth="1"/>
    <col min="8" max="8" width="17.54296875" style="6" bestFit="1" customWidth="1"/>
    <col min="9" max="9" width="11.26953125" style="6" bestFit="1" customWidth="1"/>
    <col min="10" max="10" width="8.7265625" style="6" bestFit="1" customWidth="1"/>
    <col min="11" max="11" width="17.453125" style="6" bestFit="1" customWidth="1"/>
    <col min="12" max="12" width="11.1796875" style="6" bestFit="1" customWidth="1"/>
    <col min="13" max="13" width="14.453125" style="6" customWidth="1"/>
    <col min="14" max="14" width="18" style="6" bestFit="1" customWidth="1"/>
    <col min="15" max="15" width="10.54296875" style="6" bestFit="1" customWidth="1"/>
    <col min="16" max="16" width="17.453125" style="31" bestFit="1" customWidth="1"/>
    <col min="17" max="17" width="18.26953125" style="6" customWidth="1"/>
    <col min="18" max="18" width="10.81640625" style="6" bestFit="1" customWidth="1"/>
    <col min="19" max="19" width="10" style="6" bestFit="1" customWidth="1"/>
    <col min="20" max="20" width="11" style="6" customWidth="1"/>
    <col min="21" max="21" width="11.81640625" style="6" bestFit="1" customWidth="1"/>
    <col min="22" max="22" width="13" style="6" bestFit="1" customWidth="1"/>
    <col min="23" max="23" width="18" style="6" customWidth="1"/>
    <col min="24" max="24" width="11.54296875" style="6" bestFit="1" customWidth="1"/>
    <col min="25" max="25" width="17.453125" style="6" bestFit="1" customWidth="1"/>
    <col min="26" max="26" width="11.1796875" style="6" bestFit="1" customWidth="1"/>
    <col min="27" max="27" width="11" style="6" bestFit="1" customWidth="1"/>
    <col min="28" max="28" width="16.1796875" style="6" bestFit="1" customWidth="1"/>
    <col min="29" max="29" width="16.1796875" style="6" customWidth="1"/>
    <col min="30" max="30" width="16.26953125" style="6" customWidth="1"/>
    <col min="31" max="31" width="12" style="6" bestFit="1" customWidth="1"/>
    <col min="32" max="32" width="17.453125" style="6" customWidth="1"/>
    <col min="33" max="33" width="10.54296875" style="6" bestFit="1" customWidth="1"/>
    <col min="34" max="34" width="3" style="6" bestFit="1" customWidth="1"/>
    <col min="35" max="36" width="13.54296875" style="6" bestFit="1" customWidth="1"/>
    <col min="37" max="37" width="11.54296875" style="6" bestFit="1" customWidth="1"/>
    <col min="38" max="38" width="13.54296875" style="6" bestFit="1" customWidth="1"/>
    <col min="39" max="39" width="11.54296875" style="6" bestFit="1" customWidth="1"/>
    <col min="40" max="40" width="16.7265625" style="6" bestFit="1" customWidth="1"/>
    <col min="41" max="41" width="15.81640625" style="6" bestFit="1" customWidth="1"/>
    <col min="42" max="42" width="7.26953125" style="6" bestFit="1" customWidth="1"/>
    <col min="43" max="43" width="11.1796875" style="6" bestFit="1" customWidth="1"/>
    <col min="44" max="44" width="9.81640625" style="6" bestFit="1" customWidth="1"/>
    <col min="45" max="45" width="9.7265625" style="6" bestFit="1" customWidth="1"/>
    <col min="46" max="46" width="7.26953125" style="6" bestFit="1" customWidth="1"/>
    <col min="47" max="47" width="8.1796875" style="6" bestFit="1" customWidth="1"/>
    <col min="48" max="48" width="17.7265625" style="6" customWidth="1"/>
    <col min="49" max="49" width="12.26953125" style="6" bestFit="1" customWidth="1"/>
    <col min="50" max="50" width="20.54296875" style="6" bestFit="1" customWidth="1"/>
    <col min="51" max="51" width="10.81640625" style="6" bestFit="1" customWidth="1"/>
    <col min="52" max="52" width="10.7265625" style="6" bestFit="1" customWidth="1"/>
    <col min="53" max="53" width="9.453125" style="6" bestFit="1" customWidth="1"/>
    <col min="54" max="54" width="10.453125" style="6" bestFit="1" customWidth="1"/>
    <col min="55" max="55" width="8.453125" style="6" bestFit="1" customWidth="1"/>
    <col min="56" max="56" width="7.26953125" style="6" bestFit="1" customWidth="1"/>
    <col min="57" max="57" width="11.81640625" style="6" bestFit="1" customWidth="1"/>
    <col min="58" max="58" width="8.1796875" style="6" bestFit="1" customWidth="1"/>
    <col min="59" max="59" width="16.81640625" style="6" bestFit="1" customWidth="1"/>
    <col min="60" max="60" width="18.81640625" style="6" bestFit="1" customWidth="1"/>
    <col min="61" max="61" width="11.81640625" style="6" bestFit="1" customWidth="1"/>
    <col min="62" max="62" width="18.7265625" style="6" bestFit="1" customWidth="1"/>
    <col min="63" max="63" width="18" style="6" bestFit="1" customWidth="1"/>
    <col min="64" max="64" width="13.7265625" style="6" bestFit="1" customWidth="1"/>
    <col min="65" max="65" width="16.54296875" style="6" bestFit="1" customWidth="1"/>
    <col min="66" max="66" width="13" style="6" bestFit="1" customWidth="1"/>
    <col min="67" max="67" width="11" style="6" bestFit="1" customWidth="1"/>
    <col min="68" max="68" width="21.1796875" style="6" bestFit="1" customWidth="1"/>
    <col min="69" max="69" width="17.453125" style="6" bestFit="1" customWidth="1"/>
    <col min="70" max="70" width="16.1796875" style="6" bestFit="1" customWidth="1"/>
    <col min="71" max="71" width="12" style="6" bestFit="1" customWidth="1"/>
    <col min="72" max="74" width="18.1796875" style="6" bestFit="1" customWidth="1"/>
    <col min="75" max="75" width="17.1796875" style="6" bestFit="1" customWidth="1"/>
    <col min="76" max="16384" width="9.1796875" style="6"/>
  </cols>
  <sheetData>
    <row r="1" spans="1:75" ht="15" customHeight="1" x14ac:dyDescent="0.35">
      <c r="A1" s="32" t="s">
        <v>15</v>
      </c>
      <c r="B1" s="32" t="s">
        <v>25</v>
      </c>
      <c r="C1" s="32" t="s">
        <v>29</v>
      </c>
      <c r="D1" s="32" t="s">
        <v>33</v>
      </c>
      <c r="E1" s="32" t="s">
        <v>184</v>
      </c>
      <c r="F1" s="32" t="s">
        <v>187</v>
      </c>
      <c r="G1" s="33" t="s">
        <v>189</v>
      </c>
      <c r="H1" s="32" t="s">
        <v>40</v>
      </c>
      <c r="I1" s="32" t="s">
        <v>190</v>
      </c>
      <c r="J1" s="32" t="s">
        <v>192</v>
      </c>
      <c r="K1" s="33" t="s">
        <v>194</v>
      </c>
      <c r="L1" s="34" t="s">
        <v>197</v>
      </c>
      <c r="M1" s="33" t="s">
        <v>44</v>
      </c>
      <c r="N1" s="33" t="s">
        <v>49</v>
      </c>
      <c r="O1" s="33" t="s">
        <v>53</v>
      </c>
      <c r="P1" s="33" t="s">
        <v>57</v>
      </c>
      <c r="Q1" s="33" t="s">
        <v>61</v>
      </c>
      <c r="R1" s="33" t="s">
        <v>139</v>
      </c>
      <c r="S1" s="33" t="s">
        <v>66</v>
      </c>
      <c r="T1" s="33" t="s">
        <v>70</v>
      </c>
      <c r="U1" s="33" t="s">
        <v>74</v>
      </c>
      <c r="V1" s="33" t="s">
        <v>78</v>
      </c>
      <c r="W1" s="33" t="s">
        <v>82</v>
      </c>
      <c r="X1" s="33" t="s">
        <v>84</v>
      </c>
      <c r="Y1" s="33" t="s">
        <v>88</v>
      </c>
      <c r="Z1" s="34" t="s">
        <v>145</v>
      </c>
      <c r="AA1" s="33" t="s">
        <v>92</v>
      </c>
      <c r="AB1" s="33" t="s">
        <v>133</v>
      </c>
      <c r="AC1" s="33" t="s">
        <v>93</v>
      </c>
      <c r="AD1" s="34" t="s">
        <v>161</v>
      </c>
      <c r="AE1" s="33" t="s">
        <v>98</v>
      </c>
      <c r="AF1" s="33" t="s">
        <v>104</v>
      </c>
      <c r="AG1" s="33" t="s">
        <v>107</v>
      </c>
      <c r="AH1" s="33" t="s">
        <v>109</v>
      </c>
      <c r="AI1" s="33" t="s">
        <v>183</v>
      </c>
      <c r="AJ1" s="33" t="s">
        <v>182</v>
      </c>
      <c r="AK1" s="33" t="s">
        <v>154</v>
      </c>
      <c r="AL1" s="33" t="s">
        <v>149</v>
      </c>
      <c r="AM1" s="33" t="s">
        <v>156</v>
      </c>
      <c r="AN1" s="33" t="s">
        <v>195</v>
      </c>
      <c r="AO1" s="33" t="s">
        <v>111</v>
      </c>
      <c r="AP1" s="33" t="s">
        <v>171</v>
      </c>
      <c r="AQ1" s="33" t="s">
        <v>174</v>
      </c>
      <c r="AR1" s="33" t="s">
        <v>116</v>
      </c>
      <c r="AS1" s="33" t="s">
        <v>241</v>
      </c>
      <c r="AT1" s="33" t="s">
        <v>157</v>
      </c>
      <c r="AU1" s="33" t="s">
        <v>159</v>
      </c>
      <c r="AV1" s="33" t="s">
        <v>120</v>
      </c>
      <c r="AW1" s="34" t="s">
        <v>165</v>
      </c>
      <c r="AX1" s="34" t="s">
        <v>167</v>
      </c>
      <c r="AY1" s="33" t="s">
        <v>125</v>
      </c>
      <c r="AZ1" s="33" t="s">
        <v>129</v>
      </c>
      <c r="BA1" s="34" t="s">
        <v>169</v>
      </c>
      <c r="BB1" s="34" t="s">
        <v>178</v>
      </c>
      <c r="BC1" s="34" t="s">
        <v>180</v>
      </c>
      <c r="BD1" s="35" t="s">
        <v>198</v>
      </c>
      <c r="BE1" s="36" t="s">
        <v>200</v>
      </c>
      <c r="BF1" s="36" t="s">
        <v>202</v>
      </c>
      <c r="BG1" s="36" t="s">
        <v>203</v>
      </c>
      <c r="BH1" s="36" t="s">
        <v>205</v>
      </c>
      <c r="BI1" s="36" t="s">
        <v>207</v>
      </c>
      <c r="BJ1" s="37" t="s">
        <v>209</v>
      </c>
      <c r="BK1" s="37" t="s">
        <v>211</v>
      </c>
      <c r="BL1" s="38" t="s">
        <v>212</v>
      </c>
      <c r="BM1" s="38" t="s">
        <v>214</v>
      </c>
      <c r="BN1" s="38" t="s">
        <v>216</v>
      </c>
      <c r="BO1" s="38" t="s">
        <v>217</v>
      </c>
      <c r="BP1" s="38" t="s">
        <v>218</v>
      </c>
      <c r="BQ1" s="38" t="s">
        <v>220</v>
      </c>
      <c r="BR1" s="38" t="s">
        <v>222</v>
      </c>
      <c r="BS1" s="38" t="s">
        <v>223</v>
      </c>
      <c r="BT1" s="38" t="s">
        <v>224</v>
      </c>
      <c r="BU1" s="38" t="s">
        <v>227</v>
      </c>
      <c r="BV1" s="38" t="s">
        <v>228</v>
      </c>
      <c r="BW1" s="38" t="s">
        <v>229</v>
      </c>
    </row>
    <row r="2" spans="1:75" ht="15" customHeight="1" x14ac:dyDescent="0.35">
      <c r="A2" s="39" t="s">
        <v>16</v>
      </c>
      <c r="B2" s="39" t="s">
        <v>26</v>
      </c>
      <c r="C2" s="39" t="s">
        <v>30</v>
      </c>
      <c r="D2" s="39" t="s">
        <v>34</v>
      </c>
      <c r="E2" s="39" t="s">
        <v>185</v>
      </c>
      <c r="F2" s="39" t="s">
        <v>188</v>
      </c>
      <c r="G2" s="40" t="s">
        <v>110</v>
      </c>
      <c r="H2" s="39" t="s">
        <v>41</v>
      </c>
      <c r="I2" s="39" t="s">
        <v>191</v>
      </c>
      <c r="J2" s="39" t="s">
        <v>193</v>
      </c>
      <c r="K2" s="41" t="s">
        <v>89</v>
      </c>
      <c r="L2" s="42" t="s">
        <v>146</v>
      </c>
      <c r="M2" s="41" t="s">
        <v>45</v>
      </c>
      <c r="N2" s="41" t="s">
        <v>50</v>
      </c>
      <c r="O2" s="41" t="s">
        <v>54</v>
      </c>
      <c r="P2" s="41" t="s">
        <v>58</v>
      </c>
      <c r="Q2" s="41" t="s">
        <v>62</v>
      </c>
      <c r="R2" s="41" t="s">
        <v>140</v>
      </c>
      <c r="S2" s="41" t="s">
        <v>67</v>
      </c>
      <c r="T2" s="41" t="s">
        <v>71</v>
      </c>
      <c r="U2" s="41" t="s">
        <v>75</v>
      </c>
      <c r="V2" s="41" t="s">
        <v>79</v>
      </c>
      <c r="W2" s="41" t="s">
        <v>50</v>
      </c>
      <c r="X2" s="41" t="s">
        <v>85</v>
      </c>
      <c r="Y2" s="41" t="s">
        <v>89</v>
      </c>
      <c r="Z2" s="42" t="s">
        <v>146</v>
      </c>
      <c r="AA2" s="41" t="s">
        <v>71</v>
      </c>
      <c r="AB2" s="41" t="s">
        <v>134</v>
      </c>
      <c r="AC2" s="41" t="s">
        <v>94</v>
      </c>
      <c r="AD2" s="42" t="s">
        <v>162</v>
      </c>
      <c r="AE2" s="41" t="s">
        <v>99</v>
      </c>
      <c r="AF2" s="41" t="s">
        <v>58</v>
      </c>
      <c r="AG2" s="41" t="s">
        <v>54</v>
      </c>
      <c r="AH2" s="41" t="s">
        <v>110</v>
      </c>
      <c r="AI2" s="41" t="s">
        <v>150</v>
      </c>
      <c r="AJ2" s="41" t="s">
        <v>150</v>
      </c>
      <c r="AK2" s="41" t="s">
        <v>85</v>
      </c>
      <c r="AL2" s="41" t="s">
        <v>150</v>
      </c>
      <c r="AM2" s="41" t="s">
        <v>85</v>
      </c>
      <c r="AN2" s="41" t="s">
        <v>196</v>
      </c>
      <c r="AO2" s="41" t="s">
        <v>112</v>
      </c>
      <c r="AP2" s="41" t="s">
        <v>158</v>
      </c>
      <c r="AQ2" s="41" t="s">
        <v>175</v>
      </c>
      <c r="AR2" s="41" t="s">
        <v>117</v>
      </c>
      <c r="AS2" s="41" t="s">
        <v>177</v>
      </c>
      <c r="AT2" s="41" t="s">
        <v>158</v>
      </c>
      <c r="AU2" s="41" t="s">
        <v>160</v>
      </c>
      <c r="AV2" s="41" t="s">
        <v>121</v>
      </c>
      <c r="AW2" s="42" t="s">
        <v>166</v>
      </c>
      <c r="AX2" s="42" t="s">
        <v>168</v>
      </c>
      <c r="AY2" s="41" t="s">
        <v>126</v>
      </c>
      <c r="AZ2" s="41" t="s">
        <v>130</v>
      </c>
      <c r="BA2" s="42" t="s">
        <v>170</v>
      </c>
      <c r="BB2" s="42" t="s">
        <v>179</v>
      </c>
      <c r="BC2" s="42" t="s">
        <v>181</v>
      </c>
      <c r="BD2" s="43" t="s">
        <v>158</v>
      </c>
      <c r="BE2" s="43" t="s">
        <v>201</v>
      </c>
      <c r="BF2" s="43" t="s">
        <v>160</v>
      </c>
      <c r="BG2" s="43" t="s">
        <v>204</v>
      </c>
      <c r="BH2" s="43" t="s">
        <v>206</v>
      </c>
      <c r="BI2" s="43" t="s">
        <v>208</v>
      </c>
      <c r="BJ2" s="30" t="s">
        <v>41</v>
      </c>
      <c r="BK2" s="30" t="s">
        <v>50</v>
      </c>
      <c r="BL2" s="30" t="s">
        <v>213</v>
      </c>
      <c r="BM2" s="30" t="s">
        <v>215</v>
      </c>
      <c r="BN2" s="30" t="s">
        <v>79</v>
      </c>
      <c r="BO2" s="30" t="s">
        <v>71</v>
      </c>
      <c r="BP2" s="30" t="s">
        <v>219</v>
      </c>
      <c r="BQ2" s="30" t="s">
        <v>58</v>
      </c>
      <c r="BR2" s="30" t="s">
        <v>134</v>
      </c>
      <c r="BS2" s="30" t="s">
        <v>99</v>
      </c>
      <c r="BT2" s="30" t="s">
        <v>225</v>
      </c>
      <c r="BU2" s="30" t="s">
        <v>225</v>
      </c>
      <c r="BV2" s="30" t="s">
        <v>225</v>
      </c>
      <c r="BW2" s="30" t="s">
        <v>225</v>
      </c>
    </row>
    <row r="3" spans="1:75" ht="15" customHeight="1" x14ac:dyDescent="0.35">
      <c r="A3" s="44" t="s">
        <v>242</v>
      </c>
      <c r="B3" s="44" t="s">
        <v>243</v>
      </c>
      <c r="C3" s="45" t="s">
        <v>244</v>
      </c>
      <c r="D3" s="45" t="s">
        <v>245</v>
      </c>
      <c r="E3" s="45" t="s">
        <v>245</v>
      </c>
      <c r="F3" s="44">
        <v>40</v>
      </c>
      <c r="G3" s="44"/>
      <c r="H3" s="44" t="s">
        <v>246</v>
      </c>
      <c r="I3" s="44">
        <v>34</v>
      </c>
      <c r="J3" s="44">
        <v>16</v>
      </c>
      <c r="K3" s="44" t="s">
        <v>247</v>
      </c>
      <c r="L3" s="45"/>
      <c r="M3" s="45" t="s">
        <v>248</v>
      </c>
      <c r="N3" s="45" t="s">
        <v>249</v>
      </c>
      <c r="O3" s="44" t="s">
        <v>250</v>
      </c>
      <c r="P3" s="44" t="s">
        <v>251</v>
      </c>
      <c r="Q3" s="45" t="s">
        <v>252</v>
      </c>
      <c r="R3" s="46">
        <v>25291</v>
      </c>
      <c r="S3" s="47" t="s">
        <v>253</v>
      </c>
      <c r="T3" s="47" t="s">
        <v>254</v>
      </c>
      <c r="U3" s="44" t="s">
        <v>255</v>
      </c>
      <c r="V3" s="45" t="s">
        <v>256</v>
      </c>
      <c r="W3" s="45" t="s">
        <v>249</v>
      </c>
      <c r="X3" s="47" t="s">
        <v>254</v>
      </c>
      <c r="Y3" s="44" t="s">
        <v>247</v>
      </c>
      <c r="Z3" s="45"/>
      <c r="AA3" s="47" t="s">
        <v>254</v>
      </c>
      <c r="AB3" s="45" t="s">
        <v>257</v>
      </c>
      <c r="AC3" s="45" t="s">
        <v>258</v>
      </c>
      <c r="AD3" s="45"/>
      <c r="AE3" s="45" t="s">
        <v>259</v>
      </c>
      <c r="AF3" s="45" t="s">
        <v>260</v>
      </c>
      <c r="AG3" s="44" t="s">
        <v>261</v>
      </c>
      <c r="AH3" s="44" t="s">
        <v>261</v>
      </c>
      <c r="AI3" s="45" t="s">
        <v>262</v>
      </c>
      <c r="AJ3" s="45" t="s">
        <v>262</v>
      </c>
      <c r="AK3" s="45" t="s">
        <v>263</v>
      </c>
      <c r="AL3" s="45" t="s">
        <v>262</v>
      </c>
      <c r="AM3" s="45" t="s">
        <v>263</v>
      </c>
      <c r="AN3" s="44">
        <v>5</v>
      </c>
      <c r="AO3" s="45">
        <v>7</v>
      </c>
      <c r="AP3" s="44">
        <v>16</v>
      </c>
      <c r="AQ3" s="45" t="s">
        <v>245</v>
      </c>
      <c r="AR3" s="45" t="s">
        <v>264</v>
      </c>
      <c r="AS3" s="45">
        <v>4</v>
      </c>
      <c r="AT3" s="44">
        <v>16</v>
      </c>
      <c r="AU3" s="45">
        <v>100000</v>
      </c>
      <c r="AV3" s="45">
        <v>9</v>
      </c>
      <c r="AW3" s="45"/>
      <c r="AX3" s="45"/>
      <c r="AY3" s="45" t="s">
        <v>245</v>
      </c>
      <c r="AZ3" s="45" t="s">
        <v>265</v>
      </c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</row>
    <row r="4" spans="1:75" ht="15" customHeight="1" x14ac:dyDescent="0.35">
      <c r="A4" s="44" t="s">
        <v>266</v>
      </c>
      <c r="B4" s="44" t="s">
        <v>267</v>
      </c>
      <c r="C4" s="45" t="s">
        <v>268</v>
      </c>
      <c r="D4" s="45" t="s">
        <v>269</v>
      </c>
      <c r="E4" s="45" t="s">
        <v>269</v>
      </c>
      <c r="F4" s="44">
        <v>27</v>
      </c>
      <c r="G4" s="44"/>
      <c r="H4" s="44" t="s">
        <v>270</v>
      </c>
      <c r="I4" s="44">
        <v>96</v>
      </c>
      <c r="J4" s="48">
        <v>73</v>
      </c>
      <c r="K4" s="44" t="s">
        <v>271</v>
      </c>
      <c r="L4" s="45"/>
      <c r="M4" s="45" t="s">
        <v>272</v>
      </c>
      <c r="N4" s="45" t="s">
        <v>273</v>
      </c>
      <c r="O4" s="44" t="s">
        <v>274</v>
      </c>
      <c r="P4" s="44" t="s">
        <v>275</v>
      </c>
      <c r="Q4" s="45" t="s">
        <v>276</v>
      </c>
      <c r="R4" s="46">
        <v>33124</v>
      </c>
      <c r="S4" s="47">
        <v>92400</v>
      </c>
      <c r="T4" s="47" t="s">
        <v>277</v>
      </c>
      <c r="U4" s="44" t="s">
        <v>278</v>
      </c>
      <c r="V4" s="45" t="s">
        <v>279</v>
      </c>
      <c r="W4" s="45" t="s">
        <v>273</v>
      </c>
      <c r="X4" s="47" t="s">
        <v>277</v>
      </c>
      <c r="Y4" s="44" t="s">
        <v>271</v>
      </c>
      <c r="Z4" s="45"/>
      <c r="AA4" s="47" t="s">
        <v>277</v>
      </c>
      <c r="AB4" s="45" t="s">
        <v>280</v>
      </c>
      <c r="AC4" s="45" t="s">
        <v>281</v>
      </c>
      <c r="AD4" s="45"/>
      <c r="AE4" s="45" t="s">
        <v>282</v>
      </c>
      <c r="AF4" s="45" t="s">
        <v>283</v>
      </c>
      <c r="AG4" s="44" t="s">
        <v>284</v>
      </c>
      <c r="AH4" s="44" t="s">
        <v>284</v>
      </c>
      <c r="AI4" s="45" t="s">
        <v>285</v>
      </c>
      <c r="AJ4" s="45" t="s">
        <v>285</v>
      </c>
      <c r="AK4" s="45" t="s">
        <v>286</v>
      </c>
      <c r="AL4" s="45" t="s">
        <v>285</v>
      </c>
      <c r="AM4" s="45" t="s">
        <v>286</v>
      </c>
      <c r="AN4" s="44">
        <v>10</v>
      </c>
      <c r="AO4" s="45">
        <v>9</v>
      </c>
      <c r="AP4" s="48">
        <v>73</v>
      </c>
      <c r="AQ4" s="45" t="s">
        <v>269</v>
      </c>
      <c r="AR4" s="45" t="s">
        <v>287</v>
      </c>
      <c r="AS4" s="45">
        <v>10</v>
      </c>
      <c r="AT4" s="48">
        <v>73</v>
      </c>
      <c r="AU4" s="45">
        <v>3000</v>
      </c>
      <c r="AV4" s="45">
        <v>2</v>
      </c>
      <c r="AW4" s="45"/>
      <c r="AX4" s="45"/>
      <c r="AY4" s="45" t="s">
        <v>269</v>
      </c>
      <c r="AZ4" s="45" t="s">
        <v>288</v>
      </c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</row>
    <row r="5" spans="1:75" ht="15" customHeight="1" x14ac:dyDescent="0.35">
      <c r="A5" s="44" t="s">
        <v>289</v>
      </c>
      <c r="B5" s="44" t="s">
        <v>290</v>
      </c>
      <c r="C5" s="45" t="s">
        <v>291</v>
      </c>
      <c r="D5" s="45"/>
      <c r="E5" s="45"/>
      <c r="F5" s="44">
        <v>32</v>
      </c>
      <c r="G5" s="44"/>
      <c r="H5" s="44" t="s">
        <v>292</v>
      </c>
      <c r="I5" s="44">
        <v>24</v>
      </c>
      <c r="J5" s="48">
        <v>54</v>
      </c>
      <c r="K5" s="44" t="s">
        <v>293</v>
      </c>
      <c r="L5" s="45"/>
      <c r="M5" s="45" t="s">
        <v>294</v>
      </c>
      <c r="N5" s="45" t="s">
        <v>279</v>
      </c>
      <c r="O5" s="44" t="s">
        <v>295</v>
      </c>
      <c r="P5" s="44"/>
      <c r="Q5" s="45" t="s">
        <v>296</v>
      </c>
      <c r="R5" s="46">
        <v>29805</v>
      </c>
      <c r="S5" s="47">
        <v>16600</v>
      </c>
      <c r="T5" s="47" t="s">
        <v>297</v>
      </c>
      <c r="U5" s="44" t="s">
        <v>298</v>
      </c>
      <c r="V5" s="45" t="s">
        <v>299</v>
      </c>
      <c r="W5" s="45" t="s">
        <v>279</v>
      </c>
      <c r="X5" s="47" t="s">
        <v>297</v>
      </c>
      <c r="Y5" s="44" t="s">
        <v>293</v>
      </c>
      <c r="Z5" s="45"/>
      <c r="AA5" s="47" t="s">
        <v>297</v>
      </c>
      <c r="AB5" s="45" t="s">
        <v>300</v>
      </c>
      <c r="AC5" s="45" t="s">
        <v>301</v>
      </c>
      <c r="AD5" s="45"/>
      <c r="AE5" s="45" t="s">
        <v>302</v>
      </c>
      <c r="AF5" s="45"/>
      <c r="AG5" s="44" t="s">
        <v>303</v>
      </c>
      <c r="AH5" s="44" t="s">
        <v>303</v>
      </c>
      <c r="AI5" s="45" t="s">
        <v>304</v>
      </c>
      <c r="AJ5" s="45" t="s">
        <v>304</v>
      </c>
      <c r="AK5" s="45" t="s">
        <v>305</v>
      </c>
      <c r="AL5" s="45" t="s">
        <v>304</v>
      </c>
      <c r="AM5" s="45" t="s">
        <v>305</v>
      </c>
      <c r="AN5" s="44">
        <v>23</v>
      </c>
      <c r="AO5" s="45">
        <v>1</v>
      </c>
      <c r="AP5" s="48">
        <v>54</v>
      </c>
      <c r="AQ5" s="45"/>
      <c r="AR5" s="45" t="s">
        <v>306</v>
      </c>
      <c r="AS5" s="45">
        <v>3</v>
      </c>
      <c r="AT5" s="48">
        <v>54</v>
      </c>
      <c r="AU5" s="45">
        <v>40092</v>
      </c>
      <c r="AV5" s="45">
        <v>1</v>
      </c>
      <c r="AW5" s="45"/>
      <c r="AX5" s="45"/>
      <c r="AY5" s="45"/>
      <c r="AZ5" s="45" t="s">
        <v>307</v>
      </c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</row>
    <row r="6" spans="1:75" ht="15" customHeight="1" x14ac:dyDescent="0.35">
      <c r="A6" s="44" t="s">
        <v>308</v>
      </c>
      <c r="B6" s="44" t="s">
        <v>309</v>
      </c>
      <c r="C6" s="45" t="s">
        <v>310</v>
      </c>
      <c r="D6" s="45"/>
      <c r="E6" s="45"/>
      <c r="F6" s="48">
        <v>47</v>
      </c>
      <c r="G6" s="48"/>
      <c r="H6" s="44" t="s">
        <v>308</v>
      </c>
      <c r="I6" s="44">
        <v>10</v>
      </c>
      <c r="J6" s="48">
        <v>43</v>
      </c>
      <c r="K6" s="44" t="s">
        <v>311</v>
      </c>
      <c r="L6" s="45"/>
      <c r="M6" s="45"/>
      <c r="N6" s="45" t="s">
        <v>312</v>
      </c>
      <c r="O6" s="48" t="s">
        <v>313</v>
      </c>
      <c r="P6" s="44"/>
      <c r="Q6" s="45" t="s">
        <v>314</v>
      </c>
      <c r="R6" s="46">
        <v>29402</v>
      </c>
      <c r="S6" s="47" t="s">
        <v>315</v>
      </c>
      <c r="T6" s="47" t="s">
        <v>316</v>
      </c>
      <c r="U6" s="44" t="s">
        <v>317</v>
      </c>
      <c r="V6" s="45" t="s">
        <v>318</v>
      </c>
      <c r="W6" s="45" t="s">
        <v>312</v>
      </c>
      <c r="X6" s="47" t="s">
        <v>316</v>
      </c>
      <c r="Y6" s="44" t="s">
        <v>311</v>
      </c>
      <c r="Z6" s="45"/>
      <c r="AA6" s="47" t="s">
        <v>316</v>
      </c>
      <c r="AB6" s="45"/>
      <c r="AC6" s="45" t="s">
        <v>319</v>
      </c>
      <c r="AD6" s="45"/>
      <c r="AE6" s="45" t="s">
        <v>320</v>
      </c>
      <c r="AF6" s="45"/>
      <c r="AG6" s="44" t="s">
        <v>321</v>
      </c>
      <c r="AH6" s="44" t="s">
        <v>321</v>
      </c>
      <c r="AI6" s="45" t="s">
        <v>322</v>
      </c>
      <c r="AJ6" s="45" t="s">
        <v>322</v>
      </c>
      <c r="AK6" s="45" t="s">
        <v>323</v>
      </c>
      <c r="AL6" s="45" t="s">
        <v>322</v>
      </c>
      <c r="AM6" s="45" t="s">
        <v>323</v>
      </c>
      <c r="AN6" s="44">
        <v>15</v>
      </c>
      <c r="AO6" s="45">
        <v>4</v>
      </c>
      <c r="AP6" s="48">
        <v>43</v>
      </c>
      <c r="AQ6" s="45"/>
      <c r="AR6" s="45"/>
      <c r="AS6" s="45">
        <v>2</v>
      </c>
      <c r="AT6" s="48">
        <v>43</v>
      </c>
      <c r="AU6" s="45">
        <v>10012</v>
      </c>
      <c r="AV6" s="45">
        <v>5</v>
      </c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</row>
    <row r="7" spans="1:75" ht="15" customHeight="1" x14ac:dyDescent="0.35">
      <c r="A7" s="44" t="s">
        <v>324</v>
      </c>
      <c r="B7" s="44" t="s">
        <v>325</v>
      </c>
      <c r="C7" s="45" t="s">
        <v>326</v>
      </c>
      <c r="D7" s="45"/>
      <c r="E7" s="45"/>
      <c r="F7" s="48">
        <v>26</v>
      </c>
      <c r="G7" s="48"/>
      <c r="H7" s="44" t="s">
        <v>327</v>
      </c>
      <c r="I7" s="44">
        <v>40</v>
      </c>
      <c r="J7" s="48">
        <v>57</v>
      </c>
      <c r="K7" s="44" t="s">
        <v>328</v>
      </c>
      <c r="L7" s="45"/>
      <c r="M7" s="45"/>
      <c r="N7" s="45" t="s">
        <v>329</v>
      </c>
      <c r="O7" s="48" t="s">
        <v>330</v>
      </c>
      <c r="P7" s="44"/>
      <c r="Q7" s="45" t="s">
        <v>331</v>
      </c>
      <c r="R7" s="46">
        <v>34031</v>
      </c>
      <c r="S7" s="47">
        <v>77330</v>
      </c>
      <c r="T7" s="47" t="s">
        <v>332</v>
      </c>
      <c r="U7" s="44" t="s">
        <v>333</v>
      </c>
      <c r="V7" s="45" t="s">
        <v>334</v>
      </c>
      <c r="W7" s="45" t="s">
        <v>329</v>
      </c>
      <c r="X7" s="47" t="s">
        <v>332</v>
      </c>
      <c r="Y7" s="44" t="s">
        <v>328</v>
      </c>
      <c r="Z7" s="45"/>
      <c r="AA7" s="47" t="s">
        <v>332</v>
      </c>
      <c r="AB7" s="45"/>
      <c r="AC7" s="45" t="s">
        <v>335</v>
      </c>
      <c r="AD7" s="45"/>
      <c r="AE7" s="45" t="s">
        <v>336</v>
      </c>
      <c r="AF7" s="45"/>
      <c r="AG7" s="44" t="s">
        <v>337</v>
      </c>
      <c r="AH7" s="44" t="s">
        <v>337</v>
      </c>
      <c r="AI7" s="45" t="s">
        <v>338</v>
      </c>
      <c r="AJ7" s="45" t="s">
        <v>338</v>
      </c>
      <c r="AK7" s="45" t="s">
        <v>339</v>
      </c>
      <c r="AL7" s="45" t="s">
        <v>338</v>
      </c>
      <c r="AM7" s="45" t="s">
        <v>339</v>
      </c>
      <c r="AN7" s="44">
        <v>18</v>
      </c>
      <c r="AO7" s="45">
        <v>10</v>
      </c>
      <c r="AP7" s="48">
        <v>57</v>
      </c>
      <c r="AQ7" s="45"/>
      <c r="AR7" s="45"/>
      <c r="AS7" s="45">
        <v>6</v>
      </c>
      <c r="AT7" s="48">
        <v>57</v>
      </c>
      <c r="AU7" s="45">
        <f t="shared" ref="AU7:AU38" si="0">AU3+572</f>
        <v>100572</v>
      </c>
      <c r="AV7" s="45">
        <v>7</v>
      </c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</row>
    <row r="8" spans="1:75" ht="15" customHeight="1" x14ac:dyDescent="0.35">
      <c r="A8" s="44" t="s">
        <v>340</v>
      </c>
      <c r="B8" s="44" t="s">
        <v>341</v>
      </c>
      <c r="C8" s="45" t="s">
        <v>342</v>
      </c>
      <c r="D8" s="45"/>
      <c r="E8" s="45"/>
      <c r="F8" s="48">
        <v>42</v>
      </c>
      <c r="G8" s="48"/>
      <c r="H8" s="44" t="s">
        <v>343</v>
      </c>
      <c r="I8" s="44">
        <v>39</v>
      </c>
      <c r="J8" s="48">
        <v>89</v>
      </c>
      <c r="K8" s="44" t="s">
        <v>344</v>
      </c>
      <c r="L8" s="45"/>
      <c r="M8" s="45"/>
      <c r="N8" s="45" t="s">
        <v>345</v>
      </c>
      <c r="O8" s="48" t="s">
        <v>346</v>
      </c>
      <c r="P8" s="44"/>
      <c r="Q8" s="45"/>
      <c r="R8" s="46">
        <v>17578</v>
      </c>
      <c r="S8" s="47">
        <v>69168</v>
      </c>
      <c r="T8" s="47" t="s">
        <v>347</v>
      </c>
      <c r="U8" s="44" t="s">
        <v>348</v>
      </c>
      <c r="V8" s="45" t="s">
        <v>316</v>
      </c>
      <c r="W8" s="45" t="s">
        <v>345</v>
      </c>
      <c r="X8" s="47" t="s">
        <v>347</v>
      </c>
      <c r="Y8" s="44" t="s">
        <v>344</v>
      </c>
      <c r="Z8" s="45"/>
      <c r="AA8" s="47" t="s">
        <v>347</v>
      </c>
      <c r="AB8" s="45"/>
      <c r="AC8" s="45" t="s">
        <v>349</v>
      </c>
      <c r="AD8" s="45"/>
      <c r="AE8" s="45" t="s">
        <v>350</v>
      </c>
      <c r="AF8" s="45"/>
      <c r="AG8" s="44" t="s">
        <v>295</v>
      </c>
      <c r="AH8" s="44" t="s">
        <v>295</v>
      </c>
      <c r="AI8" s="45" t="s">
        <v>351</v>
      </c>
      <c r="AJ8" s="45" t="s">
        <v>351</v>
      </c>
      <c r="AK8" s="45" t="s">
        <v>352</v>
      </c>
      <c r="AL8" s="45" t="s">
        <v>351</v>
      </c>
      <c r="AM8" s="45" t="s">
        <v>352</v>
      </c>
      <c r="AN8" s="44">
        <f t="shared" ref="AN8:AN39" si="1">AN3+2</f>
        <v>7</v>
      </c>
      <c r="AO8" s="45"/>
      <c r="AP8" s="48">
        <v>89</v>
      </c>
      <c r="AQ8" s="45"/>
      <c r="AR8" s="45"/>
      <c r="AS8" s="45">
        <v>1</v>
      </c>
      <c r="AT8" s="48">
        <v>89</v>
      </c>
      <c r="AU8" s="45">
        <f t="shared" si="0"/>
        <v>3572</v>
      </c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</row>
    <row r="9" spans="1:75" ht="15" customHeight="1" x14ac:dyDescent="0.35">
      <c r="A9" s="44" t="s">
        <v>353</v>
      </c>
      <c r="B9" s="44" t="s">
        <v>354</v>
      </c>
      <c r="C9" s="45" t="s">
        <v>355</v>
      </c>
      <c r="D9" s="45"/>
      <c r="E9" s="45"/>
      <c r="F9" s="48">
        <v>29</v>
      </c>
      <c r="G9" s="48"/>
      <c r="H9" s="44" t="s">
        <v>356</v>
      </c>
      <c r="I9" s="44">
        <v>91</v>
      </c>
      <c r="J9" s="48">
        <v>92</v>
      </c>
      <c r="K9" s="45"/>
      <c r="L9" s="45"/>
      <c r="M9" s="45"/>
      <c r="N9" s="45" t="s">
        <v>357</v>
      </c>
      <c r="O9" s="48" t="s">
        <v>358</v>
      </c>
      <c r="P9" s="44"/>
      <c r="Q9" s="45"/>
      <c r="R9" s="46">
        <v>35275</v>
      </c>
      <c r="S9" s="47" t="s">
        <v>359</v>
      </c>
      <c r="T9" s="47" t="s">
        <v>360</v>
      </c>
      <c r="U9" s="44" t="s">
        <v>361</v>
      </c>
      <c r="V9" s="45" t="s">
        <v>362</v>
      </c>
      <c r="W9" s="45" t="s">
        <v>357</v>
      </c>
      <c r="X9" s="47" t="s">
        <v>360</v>
      </c>
      <c r="Y9" s="45"/>
      <c r="Z9" s="45"/>
      <c r="AA9" s="47" t="s">
        <v>360</v>
      </c>
      <c r="AB9" s="45"/>
      <c r="AC9" s="45" t="s">
        <v>363</v>
      </c>
      <c r="AD9" s="45"/>
      <c r="AE9" s="45" t="s">
        <v>364</v>
      </c>
      <c r="AF9" s="45"/>
      <c r="AG9" s="44" t="s">
        <v>327</v>
      </c>
      <c r="AH9" s="44" t="s">
        <v>327</v>
      </c>
      <c r="AI9" s="45" t="s">
        <v>365</v>
      </c>
      <c r="AJ9" s="45" t="s">
        <v>365</v>
      </c>
      <c r="AK9" s="45" t="s">
        <v>366</v>
      </c>
      <c r="AL9" s="45" t="s">
        <v>365</v>
      </c>
      <c r="AM9" s="45" t="s">
        <v>366</v>
      </c>
      <c r="AN9" s="44">
        <f t="shared" si="1"/>
        <v>12</v>
      </c>
      <c r="AO9" s="45"/>
      <c r="AP9" s="48">
        <v>92</v>
      </c>
      <c r="AQ9" s="45"/>
      <c r="AR9" s="45"/>
      <c r="AS9" s="45"/>
      <c r="AT9" s="48">
        <v>92</v>
      </c>
      <c r="AU9" s="45">
        <f t="shared" si="0"/>
        <v>40664</v>
      </c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</row>
    <row r="10" spans="1:75" ht="15" customHeight="1" x14ac:dyDescent="0.35">
      <c r="A10" s="44" t="s">
        <v>356</v>
      </c>
      <c r="B10" s="44" t="s">
        <v>367</v>
      </c>
      <c r="C10" s="45" t="s">
        <v>368</v>
      </c>
      <c r="D10" s="45"/>
      <c r="E10" s="45"/>
      <c r="F10" s="48">
        <v>34</v>
      </c>
      <c r="G10" s="48"/>
      <c r="H10" s="44" t="s">
        <v>369</v>
      </c>
      <c r="I10" s="44">
        <v>12</v>
      </c>
      <c r="J10" s="48">
        <v>6</v>
      </c>
      <c r="K10" s="45"/>
      <c r="L10" s="45"/>
      <c r="M10" s="45"/>
      <c r="N10" s="45" t="s">
        <v>370</v>
      </c>
      <c r="O10" s="48" t="s">
        <v>371</v>
      </c>
      <c r="P10" s="44"/>
      <c r="Q10" s="45"/>
      <c r="R10" s="46">
        <v>34882</v>
      </c>
      <c r="S10" s="47">
        <v>57368</v>
      </c>
      <c r="T10" s="47" t="s">
        <v>372</v>
      </c>
      <c r="U10" s="44" t="s">
        <v>264</v>
      </c>
      <c r="V10" s="45" t="s">
        <v>373</v>
      </c>
      <c r="W10" s="45" t="s">
        <v>370</v>
      </c>
      <c r="X10" s="47" t="s">
        <v>372</v>
      </c>
      <c r="Y10" s="45"/>
      <c r="Z10" s="45"/>
      <c r="AA10" s="47" t="s">
        <v>372</v>
      </c>
      <c r="AB10" s="45"/>
      <c r="AC10" s="45" t="s">
        <v>374</v>
      </c>
      <c r="AD10" s="45"/>
      <c r="AE10" s="45" t="s">
        <v>375</v>
      </c>
      <c r="AF10" s="45"/>
      <c r="AG10" s="44" t="s">
        <v>376</v>
      </c>
      <c r="AH10" s="44" t="s">
        <v>376</v>
      </c>
      <c r="AI10" s="45" t="s">
        <v>377</v>
      </c>
      <c r="AJ10" s="45" t="s">
        <v>377</v>
      </c>
      <c r="AK10" s="45" t="s">
        <v>378</v>
      </c>
      <c r="AL10" s="45" t="s">
        <v>377</v>
      </c>
      <c r="AM10" s="45" t="s">
        <v>378</v>
      </c>
      <c r="AN10" s="44">
        <f t="shared" si="1"/>
        <v>25</v>
      </c>
      <c r="AO10" s="45"/>
      <c r="AP10" s="48">
        <v>6</v>
      </c>
      <c r="AQ10" s="45"/>
      <c r="AR10" s="45"/>
      <c r="AS10" s="45"/>
      <c r="AT10" s="48">
        <v>6</v>
      </c>
      <c r="AU10" s="45">
        <f t="shared" si="0"/>
        <v>10584</v>
      </c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</row>
    <row r="11" spans="1:75" ht="15" customHeight="1" x14ac:dyDescent="0.35">
      <c r="A11" s="44" t="s">
        <v>343</v>
      </c>
      <c r="B11" s="44" t="s">
        <v>379</v>
      </c>
      <c r="C11" s="45" t="s">
        <v>380</v>
      </c>
      <c r="D11" s="45"/>
      <c r="E11" s="45"/>
      <c r="F11" s="48">
        <v>49</v>
      </c>
      <c r="G11" s="48"/>
      <c r="H11" s="44" t="s">
        <v>381</v>
      </c>
      <c r="I11" s="44">
        <v>0</v>
      </c>
      <c r="J11" s="48">
        <v>86</v>
      </c>
      <c r="K11" s="45"/>
      <c r="L11" s="45"/>
      <c r="M11" s="45"/>
      <c r="N11" s="45" t="s">
        <v>382</v>
      </c>
      <c r="O11" s="48" t="s">
        <v>383</v>
      </c>
      <c r="P11" s="44"/>
      <c r="Q11" s="45"/>
      <c r="R11" s="46">
        <v>29376</v>
      </c>
      <c r="S11" s="47" t="s">
        <v>384</v>
      </c>
      <c r="T11" s="47" t="s">
        <v>385</v>
      </c>
      <c r="U11" s="44" t="s">
        <v>346</v>
      </c>
      <c r="V11" s="45" t="s">
        <v>386</v>
      </c>
      <c r="W11" s="45" t="s">
        <v>382</v>
      </c>
      <c r="X11" s="47" t="s">
        <v>385</v>
      </c>
      <c r="Y11" s="45"/>
      <c r="Z11" s="45"/>
      <c r="AA11" s="47" t="s">
        <v>385</v>
      </c>
      <c r="AB11" s="45"/>
      <c r="AC11" s="45" t="s">
        <v>387</v>
      </c>
      <c r="AD11" s="45"/>
      <c r="AE11" s="45" t="s">
        <v>388</v>
      </c>
      <c r="AF11" s="45"/>
      <c r="AG11" s="44" t="s">
        <v>378</v>
      </c>
      <c r="AH11" s="44" t="s">
        <v>378</v>
      </c>
      <c r="AI11" s="45"/>
      <c r="AJ11" s="45"/>
      <c r="AK11" s="45" t="s">
        <v>327</v>
      </c>
      <c r="AL11" s="45"/>
      <c r="AM11" s="45" t="s">
        <v>327</v>
      </c>
      <c r="AN11" s="44">
        <f t="shared" si="1"/>
        <v>17</v>
      </c>
      <c r="AO11" s="45"/>
      <c r="AP11" s="48">
        <v>86</v>
      </c>
      <c r="AQ11" s="45"/>
      <c r="AR11" s="45"/>
      <c r="AS11" s="45"/>
      <c r="AT11" s="48">
        <v>86</v>
      </c>
      <c r="AU11" s="45">
        <f t="shared" si="0"/>
        <v>101144</v>
      </c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</row>
    <row r="12" spans="1:75" ht="15" customHeight="1" x14ac:dyDescent="0.35">
      <c r="A12" s="44" t="s">
        <v>389</v>
      </c>
      <c r="B12" s="44" t="s">
        <v>390</v>
      </c>
      <c r="C12" s="45" t="s">
        <v>391</v>
      </c>
      <c r="D12" s="45"/>
      <c r="E12" s="45"/>
      <c r="F12" s="48">
        <v>28</v>
      </c>
      <c r="G12" s="48"/>
      <c r="H12" s="44" t="s">
        <v>392</v>
      </c>
      <c r="I12" s="44">
        <v>33</v>
      </c>
      <c r="J12" s="48">
        <v>94</v>
      </c>
      <c r="K12" s="45"/>
      <c r="L12" s="45"/>
      <c r="M12" s="45"/>
      <c r="N12" s="45" t="s">
        <v>393</v>
      </c>
      <c r="O12" s="48" t="s">
        <v>394</v>
      </c>
      <c r="P12" s="44"/>
      <c r="Q12" s="45"/>
      <c r="R12" s="46">
        <v>31755</v>
      </c>
      <c r="S12" s="47" t="s">
        <v>395</v>
      </c>
      <c r="T12" s="47" t="s">
        <v>396</v>
      </c>
      <c r="U12" s="44" t="s">
        <v>397</v>
      </c>
      <c r="V12" s="45" t="s">
        <v>398</v>
      </c>
      <c r="W12" s="45" t="s">
        <v>393</v>
      </c>
      <c r="X12" s="47" t="s">
        <v>396</v>
      </c>
      <c r="Y12" s="45"/>
      <c r="Z12" s="45"/>
      <c r="AA12" s="47" t="s">
        <v>396</v>
      </c>
      <c r="AB12" s="45"/>
      <c r="AC12" s="45" t="s">
        <v>399</v>
      </c>
      <c r="AD12" s="45"/>
      <c r="AE12" s="45" t="s">
        <v>400</v>
      </c>
      <c r="AF12" s="45"/>
      <c r="AG12" s="44" t="s">
        <v>356</v>
      </c>
      <c r="AH12" s="44" t="s">
        <v>356</v>
      </c>
      <c r="AI12" s="45"/>
      <c r="AJ12" s="45"/>
      <c r="AK12" s="45" t="s">
        <v>401</v>
      </c>
      <c r="AL12" s="45"/>
      <c r="AM12" s="45" t="s">
        <v>401</v>
      </c>
      <c r="AN12" s="44">
        <f t="shared" si="1"/>
        <v>20</v>
      </c>
      <c r="AO12" s="45"/>
      <c r="AP12" s="48">
        <v>94</v>
      </c>
      <c r="AQ12" s="45"/>
      <c r="AR12" s="45"/>
      <c r="AS12" s="45"/>
      <c r="AT12" s="48">
        <v>94</v>
      </c>
      <c r="AU12" s="45">
        <f t="shared" si="0"/>
        <v>4144</v>
      </c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</row>
    <row r="13" spans="1:75" ht="15" customHeight="1" x14ac:dyDescent="0.35">
      <c r="A13" s="44" t="s">
        <v>392</v>
      </c>
      <c r="B13" s="44" t="s">
        <v>402</v>
      </c>
      <c r="C13" s="45" t="s">
        <v>403</v>
      </c>
      <c r="D13" s="45"/>
      <c r="E13" s="45"/>
      <c r="F13" s="48">
        <v>44</v>
      </c>
      <c r="G13" s="48"/>
      <c r="H13" s="44" t="s">
        <v>404</v>
      </c>
      <c r="I13" s="44">
        <v>42</v>
      </c>
      <c r="J13" s="48">
        <v>15</v>
      </c>
      <c r="K13" s="45"/>
      <c r="L13" s="45"/>
      <c r="M13" s="45"/>
      <c r="N13" s="45" t="s">
        <v>405</v>
      </c>
      <c r="O13" s="48" t="s">
        <v>406</v>
      </c>
      <c r="P13" s="44"/>
      <c r="Q13" s="45"/>
      <c r="R13" s="46">
        <v>16948</v>
      </c>
      <c r="S13" s="47" t="s">
        <v>407</v>
      </c>
      <c r="T13" s="47" t="s">
        <v>408</v>
      </c>
      <c r="U13" s="44" t="s">
        <v>409</v>
      </c>
      <c r="V13" s="45" t="s">
        <v>410</v>
      </c>
      <c r="W13" s="45" t="s">
        <v>405</v>
      </c>
      <c r="X13" s="47" t="s">
        <v>408</v>
      </c>
      <c r="Y13" s="45"/>
      <c r="Z13" s="45"/>
      <c r="AA13" s="47" t="s">
        <v>408</v>
      </c>
      <c r="AB13" s="45"/>
      <c r="AC13" s="45" t="s">
        <v>411</v>
      </c>
      <c r="AD13" s="45"/>
      <c r="AE13" s="45" t="s">
        <v>412</v>
      </c>
      <c r="AF13" s="45"/>
      <c r="AG13" s="44" t="s">
        <v>366</v>
      </c>
      <c r="AH13" s="44" t="s">
        <v>366</v>
      </c>
      <c r="AI13" s="45"/>
      <c r="AJ13" s="45"/>
      <c r="AK13" s="45" t="s">
        <v>376</v>
      </c>
      <c r="AL13" s="45"/>
      <c r="AM13" s="45" t="s">
        <v>376</v>
      </c>
      <c r="AN13" s="44">
        <f t="shared" si="1"/>
        <v>9</v>
      </c>
      <c r="AO13" s="45"/>
      <c r="AP13" s="48">
        <v>15</v>
      </c>
      <c r="AQ13" s="45"/>
      <c r="AR13" s="45"/>
      <c r="AS13" s="45"/>
      <c r="AT13" s="48">
        <v>15</v>
      </c>
      <c r="AU13" s="45">
        <f t="shared" si="0"/>
        <v>41236</v>
      </c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</row>
    <row r="14" spans="1:75" ht="15" customHeight="1" x14ac:dyDescent="0.35">
      <c r="A14" s="44" t="s">
        <v>413</v>
      </c>
      <c r="B14" s="44" t="s">
        <v>414</v>
      </c>
      <c r="C14" s="45" t="s">
        <v>415</v>
      </c>
      <c r="D14" s="45"/>
      <c r="E14" s="45"/>
      <c r="F14" s="48">
        <v>31</v>
      </c>
      <c r="G14" s="48"/>
      <c r="H14" s="44" t="s">
        <v>416</v>
      </c>
      <c r="I14" s="44">
        <v>66</v>
      </c>
      <c r="J14" s="48">
        <v>50</v>
      </c>
      <c r="K14" s="45"/>
      <c r="L14" s="45"/>
      <c r="M14" s="45"/>
      <c r="N14" s="45" t="s">
        <v>417</v>
      </c>
      <c r="O14" s="48" t="s">
        <v>418</v>
      </c>
      <c r="P14" s="44"/>
      <c r="Q14" s="45"/>
      <c r="R14" s="46">
        <v>25661</v>
      </c>
      <c r="S14" s="47" t="s">
        <v>419</v>
      </c>
      <c r="T14" s="47" t="s">
        <v>420</v>
      </c>
      <c r="U14" s="44" t="s">
        <v>421</v>
      </c>
      <c r="V14" s="45" t="s">
        <v>422</v>
      </c>
      <c r="W14" s="45" t="s">
        <v>417</v>
      </c>
      <c r="X14" s="47" t="s">
        <v>420</v>
      </c>
      <c r="Y14" s="45"/>
      <c r="Z14" s="45"/>
      <c r="AA14" s="47" t="s">
        <v>420</v>
      </c>
      <c r="AB14" s="45"/>
      <c r="AC14" s="45" t="s">
        <v>423</v>
      </c>
      <c r="AD14" s="45"/>
      <c r="AE14" s="45" t="s">
        <v>424</v>
      </c>
      <c r="AF14" s="45"/>
      <c r="AG14" s="44" t="s">
        <v>401</v>
      </c>
      <c r="AH14" s="44" t="s">
        <v>401</v>
      </c>
      <c r="AI14" s="45"/>
      <c r="AJ14" s="45"/>
      <c r="AK14" s="45" t="s">
        <v>363</v>
      </c>
      <c r="AL14" s="45"/>
      <c r="AM14" s="45" t="s">
        <v>363</v>
      </c>
      <c r="AN14" s="44">
        <f t="shared" si="1"/>
        <v>14</v>
      </c>
      <c r="AO14" s="45"/>
      <c r="AP14" s="48">
        <v>50</v>
      </c>
      <c r="AQ14" s="45"/>
      <c r="AR14" s="45"/>
      <c r="AS14" s="45"/>
      <c r="AT14" s="48">
        <v>50</v>
      </c>
      <c r="AU14" s="45">
        <f t="shared" si="0"/>
        <v>11156</v>
      </c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</row>
    <row r="15" spans="1:75" ht="15" customHeight="1" x14ac:dyDescent="0.35">
      <c r="A15" s="44" t="s">
        <v>386</v>
      </c>
      <c r="B15" s="44" t="s">
        <v>425</v>
      </c>
      <c r="C15" s="45" t="s">
        <v>426</v>
      </c>
      <c r="D15" s="45"/>
      <c r="E15" s="45"/>
      <c r="F15" s="48">
        <v>36</v>
      </c>
      <c r="G15" s="48"/>
      <c r="H15" s="44" t="s">
        <v>427</v>
      </c>
      <c r="I15" s="44">
        <v>45</v>
      </c>
      <c r="J15" s="48">
        <v>68</v>
      </c>
      <c r="K15" s="45"/>
      <c r="L15" s="45"/>
      <c r="M15" s="45"/>
      <c r="N15" s="45" t="s">
        <v>428</v>
      </c>
      <c r="O15" s="48" t="s">
        <v>429</v>
      </c>
      <c r="P15" s="44"/>
      <c r="Q15" s="45"/>
      <c r="R15" s="46">
        <v>34322</v>
      </c>
      <c r="S15" s="47">
        <v>6449</v>
      </c>
      <c r="T15" s="47" t="s">
        <v>289</v>
      </c>
      <c r="U15" s="44" t="s">
        <v>307</v>
      </c>
      <c r="V15" s="45" t="s">
        <v>430</v>
      </c>
      <c r="W15" s="45" t="s">
        <v>428</v>
      </c>
      <c r="X15" s="47" t="s">
        <v>289</v>
      </c>
      <c r="Y15" s="45"/>
      <c r="Z15" s="45"/>
      <c r="AA15" s="47" t="s">
        <v>289</v>
      </c>
      <c r="AB15" s="45"/>
      <c r="AC15" s="45" t="s">
        <v>431</v>
      </c>
      <c r="AD15" s="45"/>
      <c r="AE15" s="45" t="s">
        <v>432</v>
      </c>
      <c r="AF15" s="45"/>
      <c r="AG15" s="44" t="s">
        <v>433</v>
      </c>
      <c r="AH15" s="44" t="s">
        <v>433</v>
      </c>
      <c r="AI15" s="45"/>
      <c r="AJ15" s="45"/>
      <c r="AK15" s="45" t="s">
        <v>254</v>
      </c>
      <c r="AL15" s="45"/>
      <c r="AM15" s="45" t="s">
        <v>254</v>
      </c>
      <c r="AN15" s="44">
        <f t="shared" si="1"/>
        <v>27</v>
      </c>
      <c r="AO15" s="45"/>
      <c r="AP15" s="48">
        <v>68</v>
      </c>
      <c r="AQ15" s="45"/>
      <c r="AR15" s="45"/>
      <c r="AS15" s="45"/>
      <c r="AT15" s="48">
        <v>68</v>
      </c>
      <c r="AU15" s="45">
        <f t="shared" si="0"/>
        <v>101716</v>
      </c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</row>
    <row r="16" spans="1:75" ht="15" customHeight="1" x14ac:dyDescent="0.35">
      <c r="A16" s="44" t="s">
        <v>434</v>
      </c>
      <c r="B16" s="44" t="s">
        <v>435</v>
      </c>
      <c r="C16" s="45" t="s">
        <v>436</v>
      </c>
      <c r="D16" s="45"/>
      <c r="E16" s="45"/>
      <c r="F16" s="48">
        <v>51</v>
      </c>
      <c r="G16" s="48"/>
      <c r="H16" s="44" t="s">
        <v>289</v>
      </c>
      <c r="I16" s="44">
        <v>84</v>
      </c>
      <c r="J16" s="48">
        <v>14</v>
      </c>
      <c r="K16" s="45"/>
      <c r="L16" s="45"/>
      <c r="M16" s="45"/>
      <c r="N16" s="45" t="s">
        <v>437</v>
      </c>
      <c r="O16" s="48" t="s">
        <v>438</v>
      </c>
      <c r="P16" s="44"/>
      <c r="Q16" s="45"/>
      <c r="R16" s="46">
        <v>29912</v>
      </c>
      <c r="S16" s="47" t="s">
        <v>439</v>
      </c>
      <c r="T16" s="47" t="s">
        <v>440</v>
      </c>
      <c r="U16" s="44" t="s">
        <v>441</v>
      </c>
      <c r="V16" s="45" t="s">
        <v>437</v>
      </c>
      <c r="W16" s="45" t="s">
        <v>437</v>
      </c>
      <c r="X16" s="47" t="s">
        <v>440</v>
      </c>
      <c r="Y16" s="45"/>
      <c r="Z16" s="45"/>
      <c r="AA16" s="47" t="s">
        <v>440</v>
      </c>
      <c r="AB16" s="45"/>
      <c r="AC16" s="45" t="s">
        <v>442</v>
      </c>
      <c r="AD16" s="45"/>
      <c r="AE16" s="45" t="s">
        <v>443</v>
      </c>
      <c r="AF16" s="45"/>
      <c r="AG16" s="44" t="s">
        <v>444</v>
      </c>
      <c r="AH16" s="44" t="s">
        <v>444</v>
      </c>
      <c r="AI16" s="45"/>
      <c r="AJ16" s="45"/>
      <c r="AK16" s="45" t="s">
        <v>445</v>
      </c>
      <c r="AL16" s="45"/>
      <c r="AM16" s="45" t="s">
        <v>445</v>
      </c>
      <c r="AN16" s="44">
        <f t="shared" si="1"/>
        <v>19</v>
      </c>
      <c r="AO16" s="45"/>
      <c r="AP16" s="48">
        <v>14</v>
      </c>
      <c r="AQ16" s="45"/>
      <c r="AR16" s="45"/>
      <c r="AS16" s="45"/>
      <c r="AT16" s="48">
        <v>14</v>
      </c>
      <c r="AU16" s="45">
        <f t="shared" si="0"/>
        <v>4716</v>
      </c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</row>
    <row r="17" spans="1:75" ht="15" customHeight="1" x14ac:dyDescent="0.35">
      <c r="A17" s="44" t="s">
        <v>446</v>
      </c>
      <c r="B17" s="44" t="s">
        <v>447</v>
      </c>
      <c r="C17" s="45" t="s">
        <v>448</v>
      </c>
      <c r="D17" s="45"/>
      <c r="E17" s="45"/>
      <c r="F17" s="48">
        <v>30</v>
      </c>
      <c r="G17" s="48"/>
      <c r="H17" s="44" t="s">
        <v>449</v>
      </c>
      <c r="I17" s="44">
        <v>19</v>
      </c>
      <c r="J17" s="48">
        <v>64</v>
      </c>
      <c r="K17" s="45"/>
      <c r="L17" s="45"/>
      <c r="M17" s="45"/>
      <c r="N17" s="45" t="s">
        <v>381</v>
      </c>
      <c r="O17" s="48" t="s">
        <v>450</v>
      </c>
      <c r="P17" s="44"/>
      <c r="Q17" s="45"/>
      <c r="R17" s="46">
        <v>31914</v>
      </c>
      <c r="S17" s="47" t="s">
        <v>451</v>
      </c>
      <c r="T17" s="47" t="s">
        <v>452</v>
      </c>
      <c r="U17" s="44" t="s">
        <v>453</v>
      </c>
      <c r="V17" s="45" t="s">
        <v>381</v>
      </c>
      <c r="W17" s="45" t="s">
        <v>381</v>
      </c>
      <c r="X17" s="47" t="s">
        <v>452</v>
      </c>
      <c r="Y17" s="45"/>
      <c r="Z17" s="45"/>
      <c r="AA17" s="47" t="s">
        <v>452</v>
      </c>
      <c r="AB17" s="45"/>
      <c r="AC17" s="45" t="s">
        <v>454</v>
      </c>
      <c r="AD17" s="45"/>
      <c r="AE17" s="45" t="s">
        <v>455</v>
      </c>
      <c r="AF17" s="45"/>
      <c r="AG17" s="44" t="s">
        <v>456</v>
      </c>
      <c r="AH17" s="44" t="s">
        <v>456</v>
      </c>
      <c r="AI17" s="45"/>
      <c r="AJ17" s="45"/>
      <c r="AK17" s="45" t="s">
        <v>457</v>
      </c>
      <c r="AL17" s="45"/>
      <c r="AM17" s="45" t="s">
        <v>457</v>
      </c>
      <c r="AN17" s="44">
        <f t="shared" si="1"/>
        <v>22</v>
      </c>
      <c r="AO17" s="45"/>
      <c r="AP17" s="48">
        <v>64</v>
      </c>
      <c r="AQ17" s="45"/>
      <c r="AR17" s="45"/>
      <c r="AS17" s="45"/>
      <c r="AT17" s="48">
        <v>64</v>
      </c>
      <c r="AU17" s="45">
        <f t="shared" si="0"/>
        <v>41808</v>
      </c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</row>
    <row r="18" spans="1:75" ht="15" customHeight="1" x14ac:dyDescent="0.35">
      <c r="A18" s="44" t="s">
        <v>458</v>
      </c>
      <c r="B18" s="44" t="s">
        <v>459</v>
      </c>
      <c r="C18" s="45" t="s">
        <v>460</v>
      </c>
      <c r="D18" s="45"/>
      <c r="E18" s="45"/>
      <c r="F18" s="48">
        <v>46</v>
      </c>
      <c r="G18" s="48"/>
      <c r="H18" s="44" t="s">
        <v>461</v>
      </c>
      <c r="I18" s="44">
        <v>49</v>
      </c>
      <c r="J18" s="48"/>
      <c r="K18" s="45"/>
      <c r="L18" s="45"/>
      <c r="M18" s="45"/>
      <c r="N18" s="45" t="s">
        <v>462</v>
      </c>
      <c r="O18" s="48" t="s">
        <v>463</v>
      </c>
      <c r="P18" s="44"/>
      <c r="Q18" s="45"/>
      <c r="R18" s="46">
        <v>23116</v>
      </c>
      <c r="S18" s="47" t="s">
        <v>464</v>
      </c>
      <c r="T18" s="47" t="s">
        <v>465</v>
      </c>
      <c r="U18" s="44" t="s">
        <v>466</v>
      </c>
      <c r="V18" s="45" t="s">
        <v>467</v>
      </c>
      <c r="W18" s="45" t="s">
        <v>462</v>
      </c>
      <c r="X18" s="47" t="s">
        <v>465</v>
      </c>
      <c r="Y18" s="45"/>
      <c r="Z18" s="45"/>
      <c r="AA18" s="47" t="s">
        <v>465</v>
      </c>
      <c r="AB18" s="45"/>
      <c r="AC18" s="45" t="s">
        <v>468</v>
      </c>
      <c r="AD18" s="45"/>
      <c r="AE18" s="45" t="s">
        <v>469</v>
      </c>
      <c r="AF18" s="45"/>
      <c r="AG18" s="44" t="s">
        <v>470</v>
      </c>
      <c r="AH18" s="44" t="s">
        <v>470</v>
      </c>
      <c r="AI18" s="45"/>
      <c r="AJ18" s="45"/>
      <c r="AK18" s="45" t="s">
        <v>386</v>
      </c>
      <c r="AL18" s="45"/>
      <c r="AM18" s="45" t="s">
        <v>386</v>
      </c>
      <c r="AN18" s="44">
        <f t="shared" si="1"/>
        <v>11</v>
      </c>
      <c r="AO18" s="45"/>
      <c r="AP18" s="45"/>
      <c r="AQ18" s="45"/>
      <c r="AR18" s="45"/>
      <c r="AS18" s="45"/>
      <c r="AT18" s="45"/>
      <c r="AU18" s="45">
        <f t="shared" si="0"/>
        <v>11728</v>
      </c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</row>
    <row r="19" spans="1:75" ht="15" customHeight="1" x14ac:dyDescent="0.35">
      <c r="A19" s="44" t="s">
        <v>471</v>
      </c>
      <c r="B19" s="44" t="s">
        <v>472</v>
      </c>
      <c r="C19" s="45" t="s">
        <v>473</v>
      </c>
      <c r="D19" s="45"/>
      <c r="E19" s="45"/>
      <c r="F19" s="48">
        <v>33</v>
      </c>
      <c r="G19" s="48"/>
      <c r="H19" s="44" t="s">
        <v>474</v>
      </c>
      <c r="I19" s="44">
        <v>22</v>
      </c>
      <c r="J19" s="48"/>
      <c r="K19" s="45"/>
      <c r="L19" s="45"/>
      <c r="M19" s="45"/>
      <c r="N19" s="45" t="s">
        <v>373</v>
      </c>
      <c r="O19" s="48" t="s">
        <v>475</v>
      </c>
      <c r="P19" s="44"/>
      <c r="Q19" s="45"/>
      <c r="R19" s="46">
        <v>22280</v>
      </c>
      <c r="S19" s="47">
        <v>72160</v>
      </c>
      <c r="T19" s="47" t="s">
        <v>476</v>
      </c>
      <c r="U19" s="44" t="s">
        <v>265</v>
      </c>
      <c r="V19" s="45" t="s">
        <v>477</v>
      </c>
      <c r="W19" s="45" t="s">
        <v>373</v>
      </c>
      <c r="X19" s="47" t="s">
        <v>476</v>
      </c>
      <c r="Y19" s="45"/>
      <c r="Z19" s="45"/>
      <c r="AA19" s="47" t="s">
        <v>476</v>
      </c>
      <c r="AB19" s="45"/>
      <c r="AC19" s="45" t="s">
        <v>477</v>
      </c>
      <c r="AD19" s="45"/>
      <c r="AE19" s="45" t="s">
        <v>478</v>
      </c>
      <c r="AF19" s="45"/>
      <c r="AG19" s="44" t="s">
        <v>479</v>
      </c>
      <c r="AH19" s="44" t="s">
        <v>479</v>
      </c>
      <c r="AI19" s="45"/>
      <c r="AJ19" s="45"/>
      <c r="AK19" s="45" t="s">
        <v>480</v>
      </c>
      <c r="AL19" s="45"/>
      <c r="AM19" s="45" t="s">
        <v>480</v>
      </c>
      <c r="AN19" s="44">
        <f t="shared" si="1"/>
        <v>16</v>
      </c>
      <c r="AO19" s="45"/>
      <c r="AP19" s="45"/>
      <c r="AQ19" s="45"/>
      <c r="AR19" s="45"/>
      <c r="AS19" s="45"/>
      <c r="AT19" s="45"/>
      <c r="AU19" s="45">
        <f t="shared" si="0"/>
        <v>102288</v>
      </c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</row>
    <row r="20" spans="1:75" ht="15" customHeight="1" x14ac:dyDescent="0.35">
      <c r="A20" s="44" t="s">
        <v>319</v>
      </c>
      <c r="B20" s="44" t="s">
        <v>481</v>
      </c>
      <c r="C20" s="45" t="s">
        <v>482</v>
      </c>
      <c r="D20" s="45"/>
      <c r="E20" s="45"/>
      <c r="F20" s="48">
        <v>38</v>
      </c>
      <c r="G20" s="48"/>
      <c r="H20" s="44" t="s">
        <v>463</v>
      </c>
      <c r="I20" s="44">
        <v>72</v>
      </c>
      <c r="J20" s="48"/>
      <c r="K20" s="45"/>
      <c r="L20" s="45"/>
      <c r="M20" s="45"/>
      <c r="N20" s="45" t="s">
        <v>483</v>
      </c>
      <c r="O20" s="48" t="s">
        <v>484</v>
      </c>
      <c r="P20" s="44"/>
      <c r="Q20" s="45"/>
      <c r="R20" s="46">
        <v>24415</v>
      </c>
      <c r="S20" s="47" t="s">
        <v>485</v>
      </c>
      <c r="T20" s="47" t="s">
        <v>484</v>
      </c>
      <c r="U20" s="44" t="s">
        <v>486</v>
      </c>
      <c r="V20" s="45" t="s">
        <v>487</v>
      </c>
      <c r="W20" s="45" t="s">
        <v>483</v>
      </c>
      <c r="X20" s="47" t="s">
        <v>484</v>
      </c>
      <c r="Y20" s="45"/>
      <c r="Z20" s="45"/>
      <c r="AA20" s="47" t="s">
        <v>484</v>
      </c>
      <c r="AB20" s="45"/>
      <c r="AC20" s="45" t="s">
        <v>488</v>
      </c>
      <c r="AD20" s="45"/>
      <c r="AE20" s="45" t="s">
        <v>489</v>
      </c>
      <c r="AF20" s="45"/>
      <c r="AG20" s="44" t="s">
        <v>490</v>
      </c>
      <c r="AH20" s="44" t="s">
        <v>490</v>
      </c>
      <c r="AI20" s="45"/>
      <c r="AJ20" s="45"/>
      <c r="AK20" s="45" t="s">
        <v>491</v>
      </c>
      <c r="AL20" s="45"/>
      <c r="AM20" s="45" t="s">
        <v>491</v>
      </c>
      <c r="AN20" s="44">
        <f t="shared" si="1"/>
        <v>29</v>
      </c>
      <c r="AO20" s="45"/>
      <c r="AP20" s="45"/>
      <c r="AQ20" s="45"/>
      <c r="AR20" s="45"/>
      <c r="AS20" s="45"/>
      <c r="AT20" s="45"/>
      <c r="AU20" s="45">
        <f t="shared" si="0"/>
        <v>5288</v>
      </c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</row>
    <row r="21" spans="1:75" ht="15" customHeight="1" x14ac:dyDescent="0.35">
      <c r="A21" s="44" t="s">
        <v>477</v>
      </c>
      <c r="B21" s="44" t="s">
        <v>492</v>
      </c>
      <c r="C21" s="45" t="s">
        <v>493</v>
      </c>
      <c r="D21" s="45"/>
      <c r="E21" s="45"/>
      <c r="F21" s="48">
        <v>53</v>
      </c>
      <c r="G21" s="48"/>
      <c r="H21" s="44" t="s">
        <v>494</v>
      </c>
      <c r="I21" s="44">
        <v>90</v>
      </c>
      <c r="J21" s="48"/>
      <c r="K21" s="45"/>
      <c r="L21" s="45"/>
      <c r="M21" s="45"/>
      <c r="N21" s="45" t="s">
        <v>495</v>
      </c>
      <c r="O21" s="48" t="s">
        <v>496</v>
      </c>
      <c r="P21" s="44"/>
      <c r="Q21" s="45"/>
      <c r="R21" s="46">
        <v>30260</v>
      </c>
      <c r="S21" s="47" t="s">
        <v>497</v>
      </c>
      <c r="T21" s="47" t="s">
        <v>498</v>
      </c>
      <c r="U21" s="44" t="s">
        <v>499</v>
      </c>
      <c r="V21" s="45" t="s">
        <v>329</v>
      </c>
      <c r="W21" s="45" t="s">
        <v>495</v>
      </c>
      <c r="X21" s="47" t="s">
        <v>498</v>
      </c>
      <c r="Y21" s="45"/>
      <c r="Z21" s="45"/>
      <c r="AA21" s="47" t="s">
        <v>498</v>
      </c>
      <c r="AB21" s="45"/>
      <c r="AC21" s="45" t="s">
        <v>500</v>
      </c>
      <c r="AD21" s="45"/>
      <c r="AE21" s="45" t="s">
        <v>501</v>
      </c>
      <c r="AF21" s="45"/>
      <c r="AG21" s="44" t="s">
        <v>502</v>
      </c>
      <c r="AH21" s="44" t="s">
        <v>502</v>
      </c>
      <c r="AI21" s="45"/>
      <c r="AJ21" s="45"/>
      <c r="AK21" s="45" t="s">
        <v>274</v>
      </c>
      <c r="AL21" s="45"/>
      <c r="AM21" s="45" t="s">
        <v>274</v>
      </c>
      <c r="AN21" s="44">
        <f t="shared" si="1"/>
        <v>21</v>
      </c>
      <c r="AO21" s="45"/>
      <c r="AP21" s="45"/>
      <c r="AQ21" s="45"/>
      <c r="AR21" s="45"/>
      <c r="AS21" s="45"/>
      <c r="AT21" s="45"/>
      <c r="AU21" s="45">
        <f t="shared" si="0"/>
        <v>42380</v>
      </c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</row>
    <row r="22" spans="1:75" ht="15" customHeight="1" x14ac:dyDescent="0.35">
      <c r="A22" s="45"/>
      <c r="B22" s="44" t="s">
        <v>503</v>
      </c>
      <c r="C22" s="45" t="s">
        <v>504</v>
      </c>
      <c r="D22" s="45"/>
      <c r="E22" s="45"/>
      <c r="F22" s="48">
        <v>32</v>
      </c>
      <c r="G22" s="48"/>
      <c r="H22" s="44" t="s">
        <v>505</v>
      </c>
      <c r="I22" s="44">
        <v>9</v>
      </c>
      <c r="J22" s="48"/>
      <c r="K22" s="45"/>
      <c r="L22" s="45"/>
      <c r="M22" s="45"/>
      <c r="N22" s="45" t="s">
        <v>506</v>
      </c>
      <c r="O22" s="48" t="s">
        <v>476</v>
      </c>
      <c r="P22" s="44"/>
      <c r="Q22" s="45"/>
      <c r="R22" s="46">
        <v>27056</v>
      </c>
      <c r="S22" s="47">
        <v>90409</v>
      </c>
      <c r="T22" s="47" t="s">
        <v>475</v>
      </c>
      <c r="U22" s="44" t="s">
        <v>507</v>
      </c>
      <c r="V22" s="45" t="s">
        <v>461</v>
      </c>
      <c r="W22" s="45" t="s">
        <v>506</v>
      </c>
      <c r="X22" s="47" t="s">
        <v>475</v>
      </c>
      <c r="Y22" s="45"/>
      <c r="Z22" s="45"/>
      <c r="AA22" s="47" t="s">
        <v>475</v>
      </c>
      <c r="AB22" s="45"/>
      <c r="AC22" s="45" t="s">
        <v>508</v>
      </c>
      <c r="AD22" s="45"/>
      <c r="AE22" s="45" t="s">
        <v>509</v>
      </c>
      <c r="AF22" s="45"/>
      <c r="AG22" s="44" t="s">
        <v>277</v>
      </c>
      <c r="AH22" s="44" t="s">
        <v>277</v>
      </c>
      <c r="AI22" s="45"/>
      <c r="AJ22" s="45"/>
      <c r="AK22" s="45" t="s">
        <v>510</v>
      </c>
      <c r="AL22" s="45"/>
      <c r="AM22" s="45" t="s">
        <v>510</v>
      </c>
      <c r="AN22" s="44">
        <f t="shared" si="1"/>
        <v>24</v>
      </c>
      <c r="AO22" s="45"/>
      <c r="AP22" s="45"/>
      <c r="AQ22" s="45"/>
      <c r="AR22" s="45"/>
      <c r="AS22" s="45"/>
      <c r="AT22" s="45"/>
      <c r="AU22" s="45">
        <f t="shared" si="0"/>
        <v>12300</v>
      </c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</row>
    <row r="23" spans="1:75" ht="15" customHeight="1" x14ac:dyDescent="0.35">
      <c r="A23" s="45"/>
      <c r="B23" s="44" t="s">
        <v>511</v>
      </c>
      <c r="C23" s="45" t="s">
        <v>512</v>
      </c>
      <c r="D23" s="45"/>
      <c r="E23" s="45"/>
      <c r="F23" s="48">
        <v>48</v>
      </c>
      <c r="G23" s="48"/>
      <c r="H23" s="44" t="s">
        <v>513</v>
      </c>
      <c r="I23" s="44">
        <v>27</v>
      </c>
      <c r="J23" s="48"/>
      <c r="K23" s="45"/>
      <c r="L23" s="45"/>
      <c r="M23" s="45"/>
      <c r="N23" s="45" t="s">
        <v>514</v>
      </c>
      <c r="O23" s="48" t="s">
        <v>498</v>
      </c>
      <c r="P23" s="44"/>
      <c r="Q23" s="45"/>
      <c r="R23" s="46">
        <v>23685</v>
      </c>
      <c r="S23" s="47" t="s">
        <v>515</v>
      </c>
      <c r="T23" s="47" t="s">
        <v>516</v>
      </c>
      <c r="U23" s="44" t="s">
        <v>517</v>
      </c>
      <c r="V23" s="45" t="s">
        <v>518</v>
      </c>
      <c r="W23" s="45" t="s">
        <v>514</v>
      </c>
      <c r="X23" s="47" t="s">
        <v>516</v>
      </c>
      <c r="Y23" s="45"/>
      <c r="Z23" s="45"/>
      <c r="AA23" s="47" t="s">
        <v>516</v>
      </c>
      <c r="AB23" s="45"/>
      <c r="AC23" s="45"/>
      <c r="AD23" s="45"/>
      <c r="AE23" s="45" t="s">
        <v>519</v>
      </c>
      <c r="AF23" s="45"/>
      <c r="AG23" s="44" t="s">
        <v>254</v>
      </c>
      <c r="AH23" s="44" t="s">
        <v>254</v>
      </c>
      <c r="AI23" s="45"/>
      <c r="AJ23" s="45"/>
      <c r="AK23" s="45" t="s">
        <v>520</v>
      </c>
      <c r="AL23" s="45"/>
      <c r="AM23" s="45" t="s">
        <v>520</v>
      </c>
      <c r="AN23" s="44">
        <f t="shared" si="1"/>
        <v>13</v>
      </c>
      <c r="AO23" s="45"/>
      <c r="AP23" s="45"/>
      <c r="AQ23" s="45"/>
      <c r="AR23" s="45"/>
      <c r="AS23" s="45"/>
      <c r="AT23" s="45"/>
      <c r="AU23" s="45">
        <f t="shared" si="0"/>
        <v>102860</v>
      </c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</row>
    <row r="24" spans="1:75" ht="15" customHeight="1" x14ac:dyDescent="0.35">
      <c r="A24" s="45"/>
      <c r="B24" s="44" t="s">
        <v>521</v>
      </c>
      <c r="C24" s="45" t="s">
        <v>522</v>
      </c>
      <c r="D24" s="45"/>
      <c r="E24" s="45"/>
      <c r="F24" s="48">
        <v>35</v>
      </c>
      <c r="G24" s="48"/>
      <c r="H24" s="44" t="s">
        <v>523</v>
      </c>
      <c r="I24" s="44">
        <v>55</v>
      </c>
      <c r="J24" s="48"/>
      <c r="K24" s="45"/>
      <c r="L24" s="45"/>
      <c r="M24" s="45"/>
      <c r="N24" s="45" t="s">
        <v>524</v>
      </c>
      <c r="O24" s="48" t="s">
        <v>525</v>
      </c>
      <c r="P24" s="44"/>
      <c r="Q24" s="45"/>
      <c r="R24" s="46">
        <v>33278</v>
      </c>
      <c r="S24" s="47" t="s">
        <v>526</v>
      </c>
      <c r="T24" s="47" t="s">
        <v>527</v>
      </c>
      <c r="U24" s="44" t="s">
        <v>528</v>
      </c>
      <c r="V24" s="45" t="s">
        <v>529</v>
      </c>
      <c r="W24" s="45" t="s">
        <v>524</v>
      </c>
      <c r="X24" s="47" t="s">
        <v>527</v>
      </c>
      <c r="Y24" s="45"/>
      <c r="Z24" s="45"/>
      <c r="AA24" s="47" t="s">
        <v>527</v>
      </c>
      <c r="AB24" s="45"/>
      <c r="AC24" s="45"/>
      <c r="AD24" s="45"/>
      <c r="AE24" s="45" t="s">
        <v>530</v>
      </c>
      <c r="AF24" s="45"/>
      <c r="AG24" s="44" t="s">
        <v>484</v>
      </c>
      <c r="AH24" s="44" t="s">
        <v>484</v>
      </c>
      <c r="AI24" s="45"/>
      <c r="AJ24" s="45"/>
      <c r="AK24" s="45" t="s">
        <v>531</v>
      </c>
      <c r="AL24" s="45"/>
      <c r="AM24" s="45" t="s">
        <v>531</v>
      </c>
      <c r="AN24" s="44">
        <f t="shared" si="1"/>
        <v>18</v>
      </c>
      <c r="AO24" s="45"/>
      <c r="AP24" s="45"/>
      <c r="AQ24" s="45"/>
      <c r="AR24" s="45"/>
      <c r="AS24" s="45"/>
      <c r="AT24" s="45"/>
      <c r="AU24" s="45">
        <f t="shared" si="0"/>
        <v>5860</v>
      </c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</row>
    <row r="25" spans="1:75" ht="15" customHeight="1" x14ac:dyDescent="0.35">
      <c r="A25" s="45"/>
      <c r="B25" s="44" t="s">
        <v>532</v>
      </c>
      <c r="C25" s="45" t="s">
        <v>533</v>
      </c>
      <c r="D25" s="45"/>
      <c r="E25" s="45"/>
      <c r="F25" s="48">
        <v>40</v>
      </c>
      <c r="G25" s="48"/>
      <c r="H25" s="44" t="s">
        <v>408</v>
      </c>
      <c r="I25" s="44">
        <v>70</v>
      </c>
      <c r="J25" s="48"/>
      <c r="K25" s="45"/>
      <c r="L25" s="45"/>
      <c r="M25" s="45"/>
      <c r="N25" s="45" t="s">
        <v>534</v>
      </c>
      <c r="O25" s="48" t="s">
        <v>535</v>
      </c>
      <c r="P25" s="44"/>
      <c r="Q25" s="45"/>
      <c r="R25" s="46">
        <v>33894</v>
      </c>
      <c r="S25" s="47" t="s">
        <v>536</v>
      </c>
      <c r="T25" s="47" t="s">
        <v>284</v>
      </c>
      <c r="U25" s="44" t="s">
        <v>537</v>
      </c>
      <c r="V25" s="45" t="s">
        <v>429</v>
      </c>
      <c r="W25" s="45" t="s">
        <v>534</v>
      </c>
      <c r="X25" s="47" t="s">
        <v>284</v>
      </c>
      <c r="Y25" s="45"/>
      <c r="Z25" s="45"/>
      <c r="AA25" s="47" t="s">
        <v>284</v>
      </c>
      <c r="AB25" s="45"/>
      <c r="AC25" s="45"/>
      <c r="AD25" s="45"/>
      <c r="AE25" s="45" t="s">
        <v>538</v>
      </c>
      <c r="AF25" s="45"/>
      <c r="AG25" s="44" t="s">
        <v>496</v>
      </c>
      <c r="AH25" s="44" t="s">
        <v>496</v>
      </c>
      <c r="AI25" s="45"/>
      <c r="AJ25" s="45"/>
      <c r="AK25" s="45" t="s">
        <v>428</v>
      </c>
      <c r="AL25" s="45"/>
      <c r="AM25" s="45" t="s">
        <v>428</v>
      </c>
      <c r="AN25" s="44">
        <f t="shared" si="1"/>
        <v>31</v>
      </c>
      <c r="AO25" s="45"/>
      <c r="AP25" s="45"/>
      <c r="AQ25" s="45"/>
      <c r="AR25" s="45"/>
      <c r="AS25" s="45"/>
      <c r="AT25" s="45"/>
      <c r="AU25" s="45">
        <f t="shared" si="0"/>
        <v>42952</v>
      </c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</row>
    <row r="26" spans="1:75" ht="15" customHeight="1" x14ac:dyDescent="0.35">
      <c r="A26" s="45"/>
      <c r="B26" s="44" t="s">
        <v>539</v>
      </c>
      <c r="C26" s="45" t="s">
        <v>540</v>
      </c>
      <c r="D26" s="45"/>
      <c r="E26" s="45"/>
      <c r="F26" s="48">
        <v>55</v>
      </c>
      <c r="G26" s="48"/>
      <c r="H26" s="44" t="s">
        <v>428</v>
      </c>
      <c r="I26" s="44">
        <v>95</v>
      </c>
      <c r="J26" s="48"/>
      <c r="K26" s="45"/>
      <c r="L26" s="45"/>
      <c r="M26" s="45"/>
      <c r="N26" s="45" t="s">
        <v>541</v>
      </c>
      <c r="O26" s="48" t="s">
        <v>542</v>
      </c>
      <c r="P26" s="44"/>
      <c r="Q26" s="45"/>
      <c r="R26" s="46">
        <v>25843</v>
      </c>
      <c r="S26" s="47">
        <v>98713</v>
      </c>
      <c r="T26" s="47" t="s">
        <v>543</v>
      </c>
      <c r="U26" s="44" t="s">
        <v>544</v>
      </c>
      <c r="V26" s="45" t="s">
        <v>339</v>
      </c>
      <c r="W26" s="45" t="s">
        <v>541</v>
      </c>
      <c r="X26" s="47" t="s">
        <v>543</v>
      </c>
      <c r="Y26" s="45"/>
      <c r="Z26" s="45"/>
      <c r="AA26" s="47" t="s">
        <v>543</v>
      </c>
      <c r="AB26" s="45"/>
      <c r="AC26" s="45"/>
      <c r="AD26" s="45"/>
      <c r="AE26" s="45" t="s">
        <v>545</v>
      </c>
      <c r="AF26" s="45"/>
      <c r="AG26" s="44" t="s">
        <v>475</v>
      </c>
      <c r="AH26" s="44" t="s">
        <v>475</v>
      </c>
      <c r="AI26" s="45"/>
      <c r="AJ26" s="45"/>
      <c r="AK26" s="45" t="s">
        <v>546</v>
      </c>
      <c r="AL26" s="45"/>
      <c r="AM26" s="45" t="s">
        <v>546</v>
      </c>
      <c r="AN26" s="44">
        <f t="shared" si="1"/>
        <v>23</v>
      </c>
      <c r="AO26" s="45"/>
      <c r="AP26" s="45"/>
      <c r="AQ26" s="45"/>
      <c r="AR26" s="45"/>
      <c r="AS26" s="45"/>
      <c r="AT26" s="45"/>
      <c r="AU26" s="45">
        <f t="shared" si="0"/>
        <v>12872</v>
      </c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</row>
    <row r="27" spans="1:75" ht="15" customHeight="1" x14ac:dyDescent="0.35">
      <c r="A27" s="45"/>
      <c r="B27" s="44" t="s">
        <v>547</v>
      </c>
      <c r="C27" s="45" t="s">
        <v>548</v>
      </c>
      <c r="D27" s="45"/>
      <c r="E27" s="45"/>
      <c r="F27" s="48">
        <v>34</v>
      </c>
      <c r="G27" s="48"/>
      <c r="H27" s="44" t="s">
        <v>549</v>
      </c>
      <c r="I27" s="44">
        <v>8</v>
      </c>
      <c r="J27" s="48"/>
      <c r="K27" s="45"/>
      <c r="L27" s="45"/>
      <c r="M27" s="45"/>
      <c r="N27" s="45" t="s">
        <v>550</v>
      </c>
      <c r="O27" s="48" t="s">
        <v>551</v>
      </c>
      <c r="P27" s="44"/>
      <c r="Q27" s="45"/>
      <c r="R27" s="46">
        <v>23990</v>
      </c>
      <c r="S27" s="47">
        <v>13545</v>
      </c>
      <c r="T27" s="47" t="s">
        <v>430</v>
      </c>
      <c r="U27" s="44" t="s">
        <v>510</v>
      </c>
      <c r="V27" s="45" t="s">
        <v>552</v>
      </c>
      <c r="W27" s="45" t="s">
        <v>550</v>
      </c>
      <c r="X27" s="47" t="s">
        <v>430</v>
      </c>
      <c r="Y27" s="45"/>
      <c r="Z27" s="45"/>
      <c r="AA27" s="47" t="s">
        <v>430</v>
      </c>
      <c r="AB27" s="45"/>
      <c r="AC27" s="45"/>
      <c r="AD27" s="45"/>
      <c r="AE27" s="45" t="s">
        <v>553</v>
      </c>
      <c r="AF27" s="45"/>
      <c r="AG27" s="44" t="s">
        <v>498</v>
      </c>
      <c r="AH27" s="44" t="s">
        <v>498</v>
      </c>
      <c r="AI27" s="45"/>
      <c r="AJ27" s="45"/>
      <c r="AK27" s="45" t="s">
        <v>554</v>
      </c>
      <c r="AL27" s="45"/>
      <c r="AM27" s="45" t="s">
        <v>554</v>
      </c>
      <c r="AN27" s="44">
        <f t="shared" si="1"/>
        <v>26</v>
      </c>
      <c r="AO27" s="45"/>
      <c r="AP27" s="45"/>
      <c r="AQ27" s="45"/>
      <c r="AR27" s="45"/>
      <c r="AS27" s="45"/>
      <c r="AT27" s="45"/>
      <c r="AU27" s="45">
        <f t="shared" si="0"/>
        <v>103432</v>
      </c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</row>
    <row r="28" spans="1:75" ht="15" customHeight="1" x14ac:dyDescent="0.35">
      <c r="A28" s="45"/>
      <c r="B28" s="44" t="s">
        <v>555</v>
      </c>
      <c r="C28" s="45" t="s">
        <v>556</v>
      </c>
      <c r="D28" s="45"/>
      <c r="E28" s="45"/>
      <c r="F28" s="48">
        <v>50</v>
      </c>
      <c r="G28" s="48"/>
      <c r="H28" s="44" t="s">
        <v>330</v>
      </c>
      <c r="I28" s="44">
        <v>51</v>
      </c>
      <c r="J28" s="48"/>
      <c r="K28" s="45"/>
      <c r="L28" s="45"/>
      <c r="M28" s="45"/>
      <c r="N28" s="45" t="s">
        <v>557</v>
      </c>
      <c r="O28" s="48" t="s">
        <v>558</v>
      </c>
      <c r="P28" s="44"/>
      <c r="Q28" s="45"/>
      <c r="R28" s="46">
        <v>24121</v>
      </c>
      <c r="S28" s="47">
        <v>41372</v>
      </c>
      <c r="T28" s="47" t="s">
        <v>559</v>
      </c>
      <c r="U28" s="44" t="s">
        <v>560</v>
      </c>
      <c r="V28" s="45" t="s">
        <v>561</v>
      </c>
      <c r="W28" s="45" t="s">
        <v>557</v>
      </c>
      <c r="X28" s="47" t="s">
        <v>559</v>
      </c>
      <c r="Y28" s="45"/>
      <c r="Z28" s="45"/>
      <c r="AA28" s="47" t="s">
        <v>559</v>
      </c>
      <c r="AB28" s="45"/>
      <c r="AC28" s="45"/>
      <c r="AD28" s="45"/>
      <c r="AE28" s="45" t="s">
        <v>562</v>
      </c>
      <c r="AF28" s="45"/>
      <c r="AG28" s="44" t="s">
        <v>476</v>
      </c>
      <c r="AH28" s="44" t="s">
        <v>476</v>
      </c>
      <c r="AI28" s="45"/>
      <c r="AJ28" s="45"/>
      <c r="AK28" s="45" t="s">
        <v>289</v>
      </c>
      <c r="AL28" s="45"/>
      <c r="AM28" s="45" t="s">
        <v>289</v>
      </c>
      <c r="AN28" s="44">
        <f t="shared" si="1"/>
        <v>15</v>
      </c>
      <c r="AO28" s="45"/>
      <c r="AP28" s="45"/>
      <c r="AQ28" s="45"/>
      <c r="AR28" s="45"/>
      <c r="AS28" s="45"/>
      <c r="AT28" s="45"/>
      <c r="AU28" s="45">
        <f t="shared" si="0"/>
        <v>6432</v>
      </c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</row>
    <row r="29" spans="1:75" ht="15" customHeight="1" x14ac:dyDescent="0.35">
      <c r="A29" s="45"/>
      <c r="B29" s="44" t="s">
        <v>563</v>
      </c>
      <c r="C29" s="45" t="s">
        <v>564</v>
      </c>
      <c r="D29" s="45"/>
      <c r="E29" s="45"/>
      <c r="F29" s="48">
        <v>37</v>
      </c>
      <c r="G29" s="48"/>
      <c r="H29" s="44" t="s">
        <v>565</v>
      </c>
      <c r="I29" s="44">
        <v>56</v>
      </c>
      <c r="J29" s="48"/>
      <c r="K29" s="45"/>
      <c r="L29" s="45"/>
      <c r="M29" s="45"/>
      <c r="N29" s="45" t="s">
        <v>566</v>
      </c>
      <c r="O29" s="48" t="s">
        <v>316</v>
      </c>
      <c r="P29" s="44"/>
      <c r="Q29" s="45"/>
      <c r="R29" s="46">
        <v>37833</v>
      </c>
      <c r="S29" s="47">
        <v>59192</v>
      </c>
      <c r="T29" s="47" t="s">
        <v>339</v>
      </c>
      <c r="U29" s="44" t="s">
        <v>567</v>
      </c>
      <c r="V29" s="45" t="s">
        <v>266</v>
      </c>
      <c r="W29" s="45" t="s">
        <v>566</v>
      </c>
      <c r="X29" s="47" t="s">
        <v>339</v>
      </c>
      <c r="Y29" s="45"/>
      <c r="Z29" s="45"/>
      <c r="AA29" s="47" t="s">
        <v>339</v>
      </c>
      <c r="AB29" s="45"/>
      <c r="AC29" s="45"/>
      <c r="AD29" s="45"/>
      <c r="AE29" s="45" t="s">
        <v>568</v>
      </c>
      <c r="AF29" s="45"/>
      <c r="AG29" s="44" t="s">
        <v>569</v>
      </c>
      <c r="AH29" s="44" t="s">
        <v>569</v>
      </c>
      <c r="AI29" s="45"/>
      <c r="AJ29" s="45"/>
      <c r="AK29" s="45" t="s">
        <v>452</v>
      </c>
      <c r="AL29" s="45"/>
      <c r="AM29" s="45" t="s">
        <v>452</v>
      </c>
      <c r="AN29" s="44">
        <f t="shared" si="1"/>
        <v>20</v>
      </c>
      <c r="AO29" s="45"/>
      <c r="AP29" s="45"/>
      <c r="AQ29" s="45"/>
      <c r="AR29" s="45"/>
      <c r="AS29" s="45"/>
      <c r="AT29" s="45"/>
      <c r="AU29" s="45">
        <f t="shared" si="0"/>
        <v>43524</v>
      </c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</row>
    <row r="30" spans="1:75" ht="15" customHeight="1" x14ac:dyDescent="0.35">
      <c r="A30" s="45"/>
      <c r="B30" s="44" t="s">
        <v>570</v>
      </c>
      <c r="C30" s="45" t="s">
        <v>571</v>
      </c>
      <c r="D30" s="45"/>
      <c r="E30" s="45"/>
      <c r="F30" s="48">
        <v>42</v>
      </c>
      <c r="G30" s="48"/>
      <c r="H30" s="44" t="s">
        <v>572</v>
      </c>
      <c r="I30" s="44">
        <v>5</v>
      </c>
      <c r="J30" s="48"/>
      <c r="K30" s="45"/>
      <c r="L30" s="45"/>
      <c r="M30" s="45"/>
      <c r="N30" s="45" t="s">
        <v>552</v>
      </c>
      <c r="O30" s="48" t="s">
        <v>332</v>
      </c>
      <c r="P30" s="44"/>
      <c r="Q30" s="45"/>
      <c r="R30" s="46">
        <v>28724</v>
      </c>
      <c r="S30" s="47">
        <v>56761</v>
      </c>
      <c r="T30" s="47" t="s">
        <v>573</v>
      </c>
      <c r="U30" s="44" t="s">
        <v>574</v>
      </c>
      <c r="V30" s="45" t="s">
        <v>575</v>
      </c>
      <c r="W30" s="45" t="s">
        <v>552</v>
      </c>
      <c r="X30" s="47" t="s">
        <v>573</v>
      </c>
      <c r="Y30" s="45"/>
      <c r="Z30" s="45"/>
      <c r="AA30" s="47" t="s">
        <v>573</v>
      </c>
      <c r="AB30" s="45"/>
      <c r="AC30" s="45"/>
      <c r="AD30" s="45"/>
      <c r="AE30" s="45" t="s">
        <v>576</v>
      </c>
      <c r="AF30" s="45"/>
      <c r="AG30" s="44" t="s">
        <v>471</v>
      </c>
      <c r="AH30" s="44" t="s">
        <v>471</v>
      </c>
      <c r="AI30" s="45"/>
      <c r="AJ30" s="45"/>
      <c r="AK30" s="45" t="s">
        <v>408</v>
      </c>
      <c r="AL30" s="45"/>
      <c r="AM30" s="45" t="s">
        <v>408</v>
      </c>
      <c r="AN30" s="44">
        <f t="shared" si="1"/>
        <v>33</v>
      </c>
      <c r="AO30" s="45"/>
      <c r="AP30" s="45"/>
      <c r="AQ30" s="45"/>
      <c r="AR30" s="45"/>
      <c r="AS30" s="45"/>
      <c r="AT30" s="45"/>
      <c r="AU30" s="45">
        <f t="shared" si="0"/>
        <v>13444</v>
      </c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</row>
    <row r="31" spans="1:75" ht="15" customHeight="1" x14ac:dyDescent="0.35">
      <c r="A31" s="45"/>
      <c r="B31" s="44" t="s">
        <v>577</v>
      </c>
      <c r="C31" s="45" t="s">
        <v>578</v>
      </c>
      <c r="D31" s="45"/>
      <c r="E31" s="45"/>
      <c r="F31" s="48">
        <v>57</v>
      </c>
      <c r="G31" s="48"/>
      <c r="H31" s="44" t="s">
        <v>579</v>
      </c>
      <c r="I31" s="44">
        <v>98</v>
      </c>
      <c r="J31" s="48"/>
      <c r="K31" s="45"/>
      <c r="L31" s="45"/>
      <c r="M31" s="45"/>
      <c r="N31" s="45" t="s">
        <v>580</v>
      </c>
      <c r="O31" s="48" t="s">
        <v>263</v>
      </c>
      <c r="P31" s="44"/>
      <c r="Q31" s="45"/>
      <c r="R31" s="46">
        <v>25776</v>
      </c>
      <c r="S31" s="47" t="s">
        <v>581</v>
      </c>
      <c r="T31" s="47" t="s">
        <v>582</v>
      </c>
      <c r="U31" s="44" t="s">
        <v>583</v>
      </c>
      <c r="V31" s="45" t="s">
        <v>584</v>
      </c>
      <c r="W31" s="45" t="s">
        <v>580</v>
      </c>
      <c r="X31" s="47" t="s">
        <v>582</v>
      </c>
      <c r="Y31" s="45"/>
      <c r="Z31" s="45"/>
      <c r="AA31" s="47" t="s">
        <v>582</v>
      </c>
      <c r="AB31" s="45"/>
      <c r="AC31" s="45"/>
      <c r="AD31" s="45"/>
      <c r="AE31" s="45" t="s">
        <v>585</v>
      </c>
      <c r="AF31" s="45"/>
      <c r="AG31" s="44" t="s">
        <v>586</v>
      </c>
      <c r="AH31" s="44" t="s">
        <v>586</v>
      </c>
      <c r="AI31" s="45"/>
      <c r="AJ31" s="45"/>
      <c r="AK31" s="45" t="s">
        <v>420</v>
      </c>
      <c r="AL31" s="45"/>
      <c r="AM31" s="45" t="s">
        <v>420</v>
      </c>
      <c r="AN31" s="44">
        <f t="shared" si="1"/>
        <v>25</v>
      </c>
      <c r="AO31" s="45"/>
      <c r="AP31" s="45"/>
      <c r="AQ31" s="45"/>
      <c r="AR31" s="45"/>
      <c r="AS31" s="45"/>
      <c r="AT31" s="45"/>
      <c r="AU31" s="45">
        <f t="shared" si="0"/>
        <v>104004</v>
      </c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</row>
    <row r="32" spans="1:75" ht="15" customHeight="1" x14ac:dyDescent="0.35">
      <c r="A32" s="45"/>
      <c r="B32" s="44" t="s">
        <v>587</v>
      </c>
      <c r="C32" s="45" t="s">
        <v>588</v>
      </c>
      <c r="D32" s="45"/>
      <c r="E32" s="45"/>
      <c r="F32" s="48">
        <v>36</v>
      </c>
      <c r="G32" s="48"/>
      <c r="H32" s="44" t="s">
        <v>589</v>
      </c>
      <c r="I32" s="44">
        <v>77</v>
      </c>
      <c r="J32" s="48"/>
      <c r="K32" s="45"/>
      <c r="L32" s="45"/>
      <c r="M32" s="45"/>
      <c r="N32" s="45" t="s">
        <v>590</v>
      </c>
      <c r="O32" s="48" t="s">
        <v>591</v>
      </c>
      <c r="P32" s="44"/>
      <c r="Q32" s="45"/>
      <c r="R32" s="46">
        <v>29178</v>
      </c>
      <c r="S32" s="47" t="s">
        <v>592</v>
      </c>
      <c r="T32" s="47" t="s">
        <v>593</v>
      </c>
      <c r="U32" s="44" t="s">
        <v>594</v>
      </c>
      <c r="V32" s="45"/>
      <c r="W32" s="45" t="s">
        <v>590</v>
      </c>
      <c r="X32" s="47" t="s">
        <v>593</v>
      </c>
      <c r="Y32" s="45"/>
      <c r="Z32" s="45"/>
      <c r="AA32" s="47" t="s">
        <v>593</v>
      </c>
      <c r="AB32" s="45"/>
      <c r="AC32" s="45"/>
      <c r="AD32" s="45"/>
      <c r="AE32" s="45" t="s">
        <v>294</v>
      </c>
      <c r="AF32" s="45"/>
      <c r="AG32" s="44" t="s">
        <v>595</v>
      </c>
      <c r="AH32" s="44" t="s">
        <v>595</v>
      </c>
      <c r="AI32" s="45"/>
      <c r="AJ32" s="45"/>
      <c r="AK32" s="45" t="s">
        <v>596</v>
      </c>
      <c r="AL32" s="45"/>
      <c r="AM32" s="45" t="s">
        <v>596</v>
      </c>
      <c r="AN32" s="44">
        <f t="shared" si="1"/>
        <v>28</v>
      </c>
      <c r="AO32" s="45"/>
      <c r="AP32" s="45"/>
      <c r="AQ32" s="45"/>
      <c r="AR32" s="45"/>
      <c r="AS32" s="45"/>
      <c r="AT32" s="45"/>
      <c r="AU32" s="45">
        <f t="shared" si="0"/>
        <v>7004</v>
      </c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</row>
    <row r="33" spans="1:75" ht="15" customHeight="1" x14ac:dyDescent="0.35">
      <c r="A33" s="45"/>
      <c r="B33" s="44" t="s">
        <v>597</v>
      </c>
      <c r="C33" s="45" t="s">
        <v>598</v>
      </c>
      <c r="D33" s="45"/>
      <c r="E33" s="45"/>
      <c r="F33" s="48">
        <v>52</v>
      </c>
      <c r="G33" s="48"/>
      <c r="H33" s="44" t="s">
        <v>599</v>
      </c>
      <c r="I33" s="44">
        <v>32</v>
      </c>
      <c r="J33" s="48"/>
      <c r="K33" s="45"/>
      <c r="L33" s="45"/>
      <c r="M33" s="45"/>
      <c r="N33" s="45" t="s">
        <v>575</v>
      </c>
      <c r="O33" s="48" t="s">
        <v>600</v>
      </c>
      <c r="P33" s="44"/>
      <c r="Q33" s="45"/>
      <c r="R33" s="46">
        <v>18853</v>
      </c>
      <c r="S33" s="47">
        <v>6124</v>
      </c>
      <c r="T33" s="47" t="s">
        <v>601</v>
      </c>
      <c r="U33" s="44" t="s">
        <v>602</v>
      </c>
      <c r="V33" s="45"/>
      <c r="W33" s="45" t="s">
        <v>575</v>
      </c>
      <c r="X33" s="47" t="s">
        <v>601</v>
      </c>
      <c r="Y33" s="45"/>
      <c r="Z33" s="45"/>
      <c r="AA33" s="47" t="s">
        <v>601</v>
      </c>
      <c r="AB33" s="45"/>
      <c r="AC33" s="45"/>
      <c r="AD33" s="45"/>
      <c r="AE33" s="45" t="s">
        <v>603</v>
      </c>
      <c r="AF33" s="45"/>
      <c r="AG33" s="44" t="s">
        <v>394</v>
      </c>
      <c r="AH33" s="44" t="s">
        <v>394</v>
      </c>
      <c r="AI33" s="45"/>
      <c r="AJ33" s="45"/>
      <c r="AK33" s="45" t="s">
        <v>604</v>
      </c>
      <c r="AL33" s="45"/>
      <c r="AM33" s="45" t="s">
        <v>604</v>
      </c>
      <c r="AN33" s="44">
        <f t="shared" si="1"/>
        <v>17</v>
      </c>
      <c r="AO33" s="45"/>
      <c r="AP33" s="45"/>
      <c r="AQ33" s="45"/>
      <c r="AR33" s="45"/>
      <c r="AS33" s="45"/>
      <c r="AT33" s="45"/>
      <c r="AU33" s="45">
        <f t="shared" si="0"/>
        <v>44096</v>
      </c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</row>
    <row r="34" spans="1:75" ht="15" customHeight="1" x14ac:dyDescent="0.35">
      <c r="A34" s="45"/>
      <c r="B34" s="44" t="s">
        <v>294</v>
      </c>
      <c r="C34" s="45" t="s">
        <v>605</v>
      </c>
      <c r="D34" s="45"/>
      <c r="E34" s="45"/>
      <c r="F34" s="48">
        <v>39</v>
      </c>
      <c r="G34" s="48"/>
      <c r="H34" s="44" t="s">
        <v>542</v>
      </c>
      <c r="I34" s="44">
        <v>38</v>
      </c>
      <c r="J34" s="48"/>
      <c r="K34" s="45"/>
      <c r="L34" s="45"/>
      <c r="M34" s="45"/>
      <c r="N34" s="45" t="s">
        <v>606</v>
      </c>
      <c r="O34" s="48" t="s">
        <v>489</v>
      </c>
      <c r="P34" s="44"/>
      <c r="Q34" s="45"/>
      <c r="R34" s="46">
        <v>29657</v>
      </c>
      <c r="S34" s="47" t="s">
        <v>607</v>
      </c>
      <c r="T34" s="47" t="s">
        <v>608</v>
      </c>
      <c r="U34" s="44" t="s">
        <v>609</v>
      </c>
      <c r="V34" s="45"/>
      <c r="W34" s="45" t="s">
        <v>606</v>
      </c>
      <c r="X34" s="47" t="s">
        <v>608</v>
      </c>
      <c r="Y34" s="45"/>
      <c r="Z34" s="45"/>
      <c r="AA34" s="47" t="s">
        <v>608</v>
      </c>
      <c r="AB34" s="45"/>
      <c r="AC34" s="45"/>
      <c r="AD34" s="45"/>
      <c r="AE34" s="45" t="s">
        <v>610</v>
      </c>
      <c r="AF34" s="45"/>
      <c r="AG34" s="44" t="s">
        <v>406</v>
      </c>
      <c r="AH34" s="44" t="s">
        <v>406</v>
      </c>
      <c r="AI34" s="45"/>
      <c r="AJ34" s="45"/>
      <c r="AK34" s="45" t="s">
        <v>542</v>
      </c>
      <c r="AL34" s="45"/>
      <c r="AM34" s="45" t="s">
        <v>542</v>
      </c>
      <c r="AN34" s="44">
        <f t="shared" si="1"/>
        <v>22</v>
      </c>
      <c r="AO34" s="45"/>
      <c r="AP34" s="45"/>
      <c r="AQ34" s="45"/>
      <c r="AR34" s="45"/>
      <c r="AS34" s="45"/>
      <c r="AT34" s="45"/>
      <c r="AU34" s="45">
        <f t="shared" si="0"/>
        <v>14016</v>
      </c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</row>
    <row r="35" spans="1:75" ht="15" customHeight="1" x14ac:dyDescent="0.35">
      <c r="A35" s="45"/>
      <c r="B35" s="44" t="s">
        <v>611</v>
      </c>
      <c r="C35" s="45" t="s">
        <v>612</v>
      </c>
      <c r="D35" s="45"/>
      <c r="E35" s="45"/>
      <c r="F35" s="48">
        <v>44</v>
      </c>
      <c r="G35" s="48"/>
      <c r="H35" s="44" t="s">
        <v>613</v>
      </c>
      <c r="I35" s="44">
        <v>63</v>
      </c>
      <c r="J35" s="48"/>
      <c r="K35" s="45"/>
      <c r="L35" s="45"/>
      <c r="M35" s="45"/>
      <c r="N35" s="45" t="s">
        <v>614</v>
      </c>
      <c r="O35" s="48" t="s">
        <v>413</v>
      </c>
      <c r="P35" s="44"/>
      <c r="Q35" s="45"/>
      <c r="R35" s="46">
        <v>22026</v>
      </c>
      <c r="S35" s="47" t="s">
        <v>615</v>
      </c>
      <c r="T35" s="47" t="s">
        <v>295</v>
      </c>
      <c r="U35" s="44" t="s">
        <v>616</v>
      </c>
      <c r="V35" s="45"/>
      <c r="W35" s="45" t="s">
        <v>614</v>
      </c>
      <c r="X35" s="47" t="s">
        <v>295</v>
      </c>
      <c r="Y35" s="45"/>
      <c r="Z35" s="45"/>
      <c r="AA35" s="47" t="s">
        <v>295</v>
      </c>
      <c r="AB35" s="45"/>
      <c r="AC35" s="45"/>
      <c r="AD35" s="45"/>
      <c r="AE35" s="45" t="s">
        <v>617</v>
      </c>
      <c r="AF35" s="45"/>
      <c r="AG35" s="44" t="s">
        <v>418</v>
      </c>
      <c r="AH35" s="44" t="s">
        <v>418</v>
      </c>
      <c r="AI35" s="45"/>
      <c r="AJ35" s="45"/>
      <c r="AK35" s="45" t="s">
        <v>569</v>
      </c>
      <c r="AL35" s="45"/>
      <c r="AM35" s="45" t="s">
        <v>569</v>
      </c>
      <c r="AN35" s="44">
        <f t="shared" si="1"/>
        <v>35</v>
      </c>
      <c r="AO35" s="45"/>
      <c r="AP35" s="45"/>
      <c r="AQ35" s="45"/>
      <c r="AR35" s="45"/>
      <c r="AS35" s="45"/>
      <c r="AT35" s="45"/>
      <c r="AU35" s="45">
        <f t="shared" si="0"/>
        <v>104576</v>
      </c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</row>
    <row r="36" spans="1:75" ht="15" customHeight="1" x14ac:dyDescent="0.35">
      <c r="A36" s="45"/>
      <c r="B36" s="44" t="s">
        <v>618</v>
      </c>
      <c r="C36" s="45" t="s">
        <v>619</v>
      </c>
      <c r="D36" s="45"/>
      <c r="E36" s="45"/>
      <c r="F36" s="48">
        <v>59</v>
      </c>
      <c r="G36" s="48"/>
      <c r="H36" s="44" t="s">
        <v>620</v>
      </c>
      <c r="I36" s="44">
        <v>81</v>
      </c>
      <c r="J36" s="48"/>
      <c r="K36" s="45"/>
      <c r="L36" s="45"/>
      <c r="M36" s="45"/>
      <c r="N36" s="45" t="s">
        <v>621</v>
      </c>
      <c r="O36" s="48" t="s">
        <v>622</v>
      </c>
      <c r="P36" s="44"/>
      <c r="Q36" s="45"/>
      <c r="R36" s="46">
        <v>28812</v>
      </c>
      <c r="S36" s="47">
        <v>47495</v>
      </c>
      <c r="T36" s="47" t="s">
        <v>623</v>
      </c>
      <c r="U36" s="44" t="s">
        <v>624</v>
      </c>
      <c r="V36" s="45"/>
      <c r="W36" s="45" t="s">
        <v>621</v>
      </c>
      <c r="X36" s="47" t="s">
        <v>623</v>
      </c>
      <c r="Y36" s="45"/>
      <c r="Z36" s="45"/>
      <c r="AA36" s="47" t="s">
        <v>623</v>
      </c>
      <c r="AB36" s="45"/>
      <c r="AC36" s="45"/>
      <c r="AD36" s="45"/>
      <c r="AE36" s="45" t="s">
        <v>625</v>
      </c>
      <c r="AF36" s="45"/>
      <c r="AG36" s="44" t="s">
        <v>500</v>
      </c>
      <c r="AH36" s="44" t="s">
        <v>500</v>
      </c>
      <c r="AI36" s="45"/>
      <c r="AJ36" s="45"/>
      <c r="AK36" s="45" t="s">
        <v>471</v>
      </c>
      <c r="AL36" s="45"/>
      <c r="AM36" s="45" t="s">
        <v>471</v>
      </c>
      <c r="AN36" s="44">
        <f t="shared" si="1"/>
        <v>27</v>
      </c>
      <c r="AO36" s="45"/>
      <c r="AP36" s="45"/>
      <c r="AQ36" s="45"/>
      <c r="AR36" s="45"/>
      <c r="AS36" s="45"/>
      <c r="AT36" s="45"/>
      <c r="AU36" s="45">
        <f t="shared" si="0"/>
        <v>7576</v>
      </c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</row>
    <row r="37" spans="1:75" ht="15" customHeight="1" x14ac:dyDescent="0.35">
      <c r="A37" s="45"/>
      <c r="B37" s="44" t="s">
        <v>626</v>
      </c>
      <c r="C37" s="45" t="s">
        <v>627</v>
      </c>
      <c r="D37" s="45"/>
      <c r="E37" s="45"/>
      <c r="F37" s="48">
        <v>38</v>
      </c>
      <c r="G37" s="48"/>
      <c r="H37" s="44" t="s">
        <v>628</v>
      </c>
      <c r="I37" s="44">
        <v>58</v>
      </c>
      <c r="J37" s="48"/>
      <c r="K37" s="45"/>
      <c r="L37" s="45"/>
      <c r="M37" s="45"/>
      <c r="N37" s="45" t="s">
        <v>629</v>
      </c>
      <c r="O37" s="48" t="s">
        <v>449</v>
      </c>
      <c r="P37" s="44"/>
      <c r="Q37" s="45"/>
      <c r="R37" s="46">
        <v>30202</v>
      </c>
      <c r="S37" s="47" t="s">
        <v>630</v>
      </c>
      <c r="T37" s="47" t="s">
        <v>631</v>
      </c>
      <c r="U37" s="44" t="s">
        <v>632</v>
      </c>
      <c r="V37" s="45"/>
      <c r="W37" s="45" t="s">
        <v>629</v>
      </c>
      <c r="X37" s="47" t="s">
        <v>631</v>
      </c>
      <c r="Y37" s="45"/>
      <c r="Z37" s="45"/>
      <c r="AA37" s="47" t="s">
        <v>631</v>
      </c>
      <c r="AB37" s="45"/>
      <c r="AC37" s="45"/>
      <c r="AD37" s="45"/>
      <c r="AE37" s="45" t="s">
        <v>633</v>
      </c>
      <c r="AF37" s="45"/>
      <c r="AG37" s="44" t="s">
        <v>634</v>
      </c>
      <c r="AH37" s="44" t="s">
        <v>634</v>
      </c>
      <c r="AI37" s="45"/>
      <c r="AJ37" s="45"/>
      <c r="AK37" s="45" t="s">
        <v>430</v>
      </c>
      <c r="AL37" s="45"/>
      <c r="AM37" s="45" t="s">
        <v>430</v>
      </c>
      <c r="AN37" s="44">
        <f t="shared" si="1"/>
        <v>30</v>
      </c>
      <c r="AO37" s="45"/>
      <c r="AP37" s="45"/>
      <c r="AQ37" s="45"/>
      <c r="AR37" s="45"/>
      <c r="AS37" s="45"/>
      <c r="AT37" s="45"/>
      <c r="AU37" s="45">
        <f t="shared" si="0"/>
        <v>44668</v>
      </c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</row>
    <row r="38" spans="1:75" ht="15" customHeight="1" x14ac:dyDescent="0.35">
      <c r="A38" s="45"/>
      <c r="B38" s="44" t="s">
        <v>635</v>
      </c>
      <c r="C38" s="45" t="s">
        <v>636</v>
      </c>
      <c r="D38" s="45"/>
      <c r="E38" s="45"/>
      <c r="F38" s="48">
        <v>54</v>
      </c>
      <c r="G38" s="48"/>
      <c r="H38" s="44" t="s">
        <v>637</v>
      </c>
      <c r="I38" s="44">
        <v>31</v>
      </c>
      <c r="J38" s="48"/>
      <c r="K38" s="45"/>
      <c r="L38" s="45"/>
      <c r="M38" s="45"/>
      <c r="N38" s="45" t="s">
        <v>638</v>
      </c>
      <c r="O38" s="48" t="s">
        <v>639</v>
      </c>
      <c r="P38" s="44"/>
      <c r="Q38" s="45"/>
      <c r="R38" s="46">
        <v>36683</v>
      </c>
      <c r="S38" s="47" t="s">
        <v>640</v>
      </c>
      <c r="T38" s="47" t="s">
        <v>641</v>
      </c>
      <c r="U38" s="44" t="s">
        <v>642</v>
      </c>
      <c r="V38" s="45"/>
      <c r="W38" s="45" t="s">
        <v>638</v>
      </c>
      <c r="X38" s="47" t="s">
        <v>641</v>
      </c>
      <c r="Y38" s="45"/>
      <c r="Z38" s="45"/>
      <c r="AA38" s="47" t="s">
        <v>641</v>
      </c>
      <c r="AB38" s="45"/>
      <c r="AC38" s="45"/>
      <c r="AD38" s="45"/>
      <c r="AE38" s="45" t="s">
        <v>643</v>
      </c>
      <c r="AF38" s="45"/>
      <c r="AG38" s="44" t="s">
        <v>644</v>
      </c>
      <c r="AH38" s="44" t="s">
        <v>644</v>
      </c>
      <c r="AI38" s="45"/>
      <c r="AJ38" s="45"/>
      <c r="AK38" s="45" t="s">
        <v>559</v>
      </c>
      <c r="AL38" s="45"/>
      <c r="AM38" s="45" t="s">
        <v>559</v>
      </c>
      <c r="AN38" s="44">
        <f t="shared" si="1"/>
        <v>19</v>
      </c>
      <c r="AO38" s="45"/>
      <c r="AP38" s="45"/>
      <c r="AQ38" s="45"/>
      <c r="AR38" s="45"/>
      <c r="AS38" s="45"/>
      <c r="AT38" s="45"/>
      <c r="AU38" s="45">
        <f t="shared" si="0"/>
        <v>14588</v>
      </c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</row>
    <row r="39" spans="1:75" ht="15" customHeight="1" x14ac:dyDescent="0.35">
      <c r="A39" s="45"/>
      <c r="B39" s="44" t="s">
        <v>645</v>
      </c>
      <c r="C39" s="45" t="s">
        <v>646</v>
      </c>
      <c r="D39" s="45"/>
      <c r="E39" s="45"/>
      <c r="F39" s="48">
        <v>41</v>
      </c>
      <c r="G39" s="48"/>
      <c r="H39" s="44" t="s">
        <v>324</v>
      </c>
      <c r="I39" s="44">
        <v>79</v>
      </c>
      <c r="J39" s="48"/>
      <c r="K39" s="45"/>
      <c r="L39" s="45"/>
      <c r="M39" s="45"/>
      <c r="N39" s="45" t="s">
        <v>647</v>
      </c>
      <c r="O39" s="48" t="s">
        <v>465</v>
      </c>
      <c r="P39" s="44"/>
      <c r="Q39" s="45"/>
      <c r="R39" s="46">
        <v>23463</v>
      </c>
      <c r="S39" s="47">
        <v>67269</v>
      </c>
      <c r="T39" s="47" t="s">
        <v>510</v>
      </c>
      <c r="U39" s="44" t="s">
        <v>648</v>
      </c>
      <c r="V39" s="45"/>
      <c r="W39" s="45" t="s">
        <v>647</v>
      </c>
      <c r="X39" s="47" t="s">
        <v>510</v>
      </c>
      <c r="Y39" s="45"/>
      <c r="Z39" s="45"/>
      <c r="AA39" s="47" t="s">
        <v>510</v>
      </c>
      <c r="AB39" s="45"/>
      <c r="AC39" s="45"/>
      <c r="AD39" s="45"/>
      <c r="AE39" s="45" t="s">
        <v>649</v>
      </c>
      <c r="AF39" s="45"/>
      <c r="AG39" s="44" t="s">
        <v>263</v>
      </c>
      <c r="AH39" s="44" t="s">
        <v>263</v>
      </c>
      <c r="AI39" s="45"/>
      <c r="AJ39" s="45"/>
      <c r="AK39" s="45" t="s">
        <v>650</v>
      </c>
      <c r="AL39" s="45"/>
      <c r="AM39" s="45" t="s">
        <v>650</v>
      </c>
      <c r="AN39" s="44">
        <f t="shared" si="1"/>
        <v>24</v>
      </c>
      <c r="AO39" s="45"/>
      <c r="AP39" s="45"/>
      <c r="AQ39" s="45"/>
      <c r="AR39" s="45"/>
      <c r="AS39" s="45"/>
      <c r="AT39" s="45"/>
      <c r="AU39" s="45">
        <f t="shared" ref="AU39:AU70" si="2">AU35+572</f>
        <v>105148</v>
      </c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</row>
    <row r="40" spans="1:75" ht="15" customHeight="1" x14ac:dyDescent="0.35">
      <c r="A40" s="45"/>
      <c r="B40" s="44" t="s">
        <v>651</v>
      </c>
      <c r="C40" s="45" t="s">
        <v>652</v>
      </c>
      <c r="D40" s="45"/>
      <c r="E40" s="45"/>
      <c r="F40" s="48">
        <v>46</v>
      </c>
      <c r="G40" s="48"/>
      <c r="H40" s="44" t="s">
        <v>340</v>
      </c>
      <c r="I40" s="44">
        <v>69</v>
      </c>
      <c r="J40" s="48"/>
      <c r="K40" s="45"/>
      <c r="L40" s="45"/>
      <c r="M40" s="45"/>
      <c r="N40" s="45" t="s">
        <v>653</v>
      </c>
      <c r="O40" s="48" t="s">
        <v>654</v>
      </c>
      <c r="P40" s="44"/>
      <c r="Q40" s="45"/>
      <c r="R40" s="46">
        <v>32673</v>
      </c>
      <c r="S40" s="47" t="s">
        <v>655</v>
      </c>
      <c r="T40" s="47" t="s">
        <v>520</v>
      </c>
      <c r="U40" s="44" t="s">
        <v>656</v>
      </c>
      <c r="V40" s="45"/>
      <c r="W40" s="45" t="s">
        <v>653</v>
      </c>
      <c r="X40" s="47" t="s">
        <v>520</v>
      </c>
      <c r="Y40" s="45"/>
      <c r="Z40" s="45"/>
      <c r="AA40" s="47" t="s">
        <v>520</v>
      </c>
      <c r="AB40" s="45"/>
      <c r="AC40" s="45"/>
      <c r="AD40" s="45"/>
      <c r="AE40" s="45" t="s">
        <v>657</v>
      </c>
      <c r="AF40" s="45"/>
      <c r="AG40" s="44" t="s">
        <v>591</v>
      </c>
      <c r="AH40" s="44" t="s">
        <v>591</v>
      </c>
      <c r="AI40" s="45"/>
      <c r="AJ40" s="45"/>
      <c r="AK40" s="45" t="s">
        <v>658</v>
      </c>
      <c r="AL40" s="45"/>
      <c r="AM40" s="45" t="s">
        <v>658</v>
      </c>
      <c r="AN40" s="44">
        <f t="shared" ref="AN40:AN71" si="3">AN35+2</f>
        <v>37</v>
      </c>
      <c r="AO40" s="45"/>
      <c r="AP40" s="45"/>
      <c r="AQ40" s="45"/>
      <c r="AR40" s="45"/>
      <c r="AS40" s="45"/>
      <c r="AT40" s="45"/>
      <c r="AU40" s="45">
        <f t="shared" si="2"/>
        <v>8148</v>
      </c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</row>
    <row r="41" spans="1:75" ht="15" customHeight="1" x14ac:dyDescent="0.35">
      <c r="A41" s="45"/>
      <c r="B41" s="44" t="s">
        <v>659</v>
      </c>
      <c r="C41" s="45" t="s">
        <v>660</v>
      </c>
      <c r="D41" s="45"/>
      <c r="E41" s="45"/>
      <c r="F41" s="48">
        <v>61</v>
      </c>
      <c r="G41" s="48"/>
      <c r="H41" s="44" t="s">
        <v>661</v>
      </c>
      <c r="I41" s="44">
        <v>89</v>
      </c>
      <c r="J41" s="48"/>
      <c r="K41" s="45"/>
      <c r="L41" s="45"/>
      <c r="M41" s="45"/>
      <c r="N41" s="45" t="s">
        <v>662</v>
      </c>
      <c r="O41" s="48" t="s">
        <v>663</v>
      </c>
      <c r="P41" s="44"/>
      <c r="Q41" s="45"/>
      <c r="R41" s="46">
        <v>26049</v>
      </c>
      <c r="S41" s="47">
        <v>8009</v>
      </c>
      <c r="T41" s="47" t="s">
        <v>664</v>
      </c>
      <c r="U41" s="44" t="s">
        <v>665</v>
      </c>
      <c r="V41" s="45"/>
      <c r="W41" s="45" t="s">
        <v>662</v>
      </c>
      <c r="X41" s="47" t="s">
        <v>664</v>
      </c>
      <c r="Y41" s="45"/>
      <c r="Z41" s="45"/>
      <c r="AA41" s="47" t="s">
        <v>664</v>
      </c>
      <c r="AB41" s="45"/>
      <c r="AC41" s="45"/>
      <c r="AD41" s="45"/>
      <c r="AE41" s="45" t="s">
        <v>666</v>
      </c>
      <c r="AF41" s="45"/>
      <c r="AG41" s="44" t="s">
        <v>667</v>
      </c>
      <c r="AH41" s="44" t="s">
        <v>667</v>
      </c>
      <c r="AI41" s="45"/>
      <c r="AJ41" s="45"/>
      <c r="AK41" s="45" t="s">
        <v>527</v>
      </c>
      <c r="AL41" s="45"/>
      <c r="AM41" s="45" t="s">
        <v>527</v>
      </c>
      <c r="AN41" s="44">
        <f t="shared" si="3"/>
        <v>29</v>
      </c>
      <c r="AO41" s="45"/>
      <c r="AP41" s="45"/>
      <c r="AQ41" s="45"/>
      <c r="AR41" s="45"/>
      <c r="AS41" s="45"/>
      <c r="AT41" s="45"/>
      <c r="AU41" s="45">
        <f t="shared" si="2"/>
        <v>45240</v>
      </c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</row>
    <row r="42" spans="1:75" ht="15" customHeight="1" x14ac:dyDescent="0.35">
      <c r="A42" s="45"/>
      <c r="B42" s="44" t="s">
        <v>668</v>
      </c>
      <c r="C42" s="45" t="s">
        <v>669</v>
      </c>
      <c r="D42" s="45"/>
      <c r="E42" s="45"/>
      <c r="F42" s="48">
        <v>40</v>
      </c>
      <c r="G42" s="48"/>
      <c r="H42" s="44" t="s">
        <v>670</v>
      </c>
      <c r="I42" s="44">
        <v>92</v>
      </c>
      <c r="J42" s="48"/>
      <c r="K42" s="45"/>
      <c r="L42" s="45"/>
      <c r="M42" s="45"/>
      <c r="N42" s="45" t="s">
        <v>671</v>
      </c>
      <c r="O42" s="48" t="s">
        <v>672</v>
      </c>
      <c r="P42" s="44"/>
      <c r="Q42" s="45"/>
      <c r="R42" s="46">
        <v>29447</v>
      </c>
      <c r="S42" s="47" t="s">
        <v>673</v>
      </c>
      <c r="T42" s="47" t="s">
        <v>263</v>
      </c>
      <c r="U42" s="44" t="s">
        <v>674</v>
      </c>
      <c r="V42" s="45"/>
      <c r="W42" s="45" t="s">
        <v>671</v>
      </c>
      <c r="X42" s="47" t="s">
        <v>263</v>
      </c>
      <c r="Y42" s="45"/>
      <c r="Z42" s="45"/>
      <c r="AA42" s="47" t="s">
        <v>263</v>
      </c>
      <c r="AB42" s="45"/>
      <c r="AC42" s="45"/>
      <c r="AD42" s="45"/>
      <c r="AE42" s="45" t="s">
        <v>675</v>
      </c>
      <c r="AF42" s="45"/>
      <c r="AG42" s="44" t="s">
        <v>305</v>
      </c>
      <c r="AH42" s="44" t="s">
        <v>305</v>
      </c>
      <c r="AI42" s="45"/>
      <c r="AJ42" s="45"/>
      <c r="AK42" s="45" t="s">
        <v>676</v>
      </c>
      <c r="AL42" s="45"/>
      <c r="AM42" s="45" t="s">
        <v>676</v>
      </c>
      <c r="AN42" s="44">
        <f t="shared" si="3"/>
        <v>32</v>
      </c>
      <c r="AO42" s="45"/>
      <c r="AP42" s="45"/>
      <c r="AQ42" s="45"/>
      <c r="AR42" s="45"/>
      <c r="AS42" s="45"/>
      <c r="AT42" s="45"/>
      <c r="AU42" s="45">
        <f t="shared" si="2"/>
        <v>15160</v>
      </c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</row>
    <row r="43" spans="1:75" ht="15" customHeight="1" x14ac:dyDescent="0.35">
      <c r="A43" s="45"/>
      <c r="B43" s="44" t="s">
        <v>677</v>
      </c>
      <c r="C43" s="45" t="s">
        <v>678</v>
      </c>
      <c r="D43" s="45"/>
      <c r="E43" s="45"/>
      <c r="F43" s="48">
        <v>56</v>
      </c>
      <c r="G43" s="48"/>
      <c r="H43" s="44" t="s">
        <v>679</v>
      </c>
      <c r="I43" s="44">
        <v>17</v>
      </c>
      <c r="J43" s="48"/>
      <c r="K43" s="45"/>
      <c r="L43" s="45"/>
      <c r="M43" s="45"/>
      <c r="N43" s="45" t="s">
        <v>680</v>
      </c>
      <c r="O43" s="48" t="s">
        <v>480</v>
      </c>
      <c r="P43" s="44"/>
      <c r="Q43" s="45"/>
      <c r="R43" s="46">
        <v>27283</v>
      </c>
      <c r="S43" s="47" t="s">
        <v>681</v>
      </c>
      <c r="T43" s="47" t="s">
        <v>591</v>
      </c>
      <c r="U43" s="44" t="s">
        <v>682</v>
      </c>
      <c r="V43" s="45"/>
      <c r="W43" s="45" t="s">
        <v>680</v>
      </c>
      <c r="X43" s="47" t="s">
        <v>591</v>
      </c>
      <c r="Y43" s="45"/>
      <c r="Z43" s="45"/>
      <c r="AA43" s="47" t="s">
        <v>591</v>
      </c>
      <c r="AB43" s="45"/>
      <c r="AC43" s="45"/>
      <c r="AD43" s="45"/>
      <c r="AE43" s="45" t="s">
        <v>683</v>
      </c>
      <c r="AF43" s="45"/>
      <c r="AG43" s="44" t="s">
        <v>572</v>
      </c>
      <c r="AH43" s="44" t="s">
        <v>572</v>
      </c>
      <c r="AI43" s="45"/>
      <c r="AJ43" s="45"/>
      <c r="AK43" s="45" t="s">
        <v>684</v>
      </c>
      <c r="AL43" s="45"/>
      <c r="AM43" s="45" t="s">
        <v>684</v>
      </c>
      <c r="AN43" s="44">
        <f t="shared" si="3"/>
        <v>21</v>
      </c>
      <c r="AO43" s="45"/>
      <c r="AP43" s="45"/>
      <c r="AQ43" s="45"/>
      <c r="AR43" s="45"/>
      <c r="AS43" s="45"/>
      <c r="AT43" s="45"/>
      <c r="AU43" s="45">
        <f t="shared" si="2"/>
        <v>105720</v>
      </c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</row>
    <row r="44" spans="1:75" ht="15" customHeight="1" x14ac:dyDescent="0.35">
      <c r="A44" s="45"/>
      <c r="B44" s="44" t="s">
        <v>685</v>
      </c>
      <c r="C44" s="45" t="s">
        <v>686</v>
      </c>
      <c r="D44" s="45"/>
      <c r="E44" s="45"/>
      <c r="F44" s="48">
        <v>43</v>
      </c>
      <c r="G44" s="48"/>
      <c r="H44" s="44" t="s">
        <v>687</v>
      </c>
      <c r="I44" s="44">
        <v>93</v>
      </c>
      <c r="J44" s="48"/>
      <c r="K44" s="45"/>
      <c r="L44" s="45"/>
      <c r="M44" s="45"/>
      <c r="N44" s="45" t="s">
        <v>688</v>
      </c>
      <c r="O44" s="48" t="s">
        <v>321</v>
      </c>
      <c r="P44" s="44"/>
      <c r="Q44" s="45"/>
      <c r="R44" s="46">
        <v>20093</v>
      </c>
      <c r="S44" s="47">
        <v>66539</v>
      </c>
      <c r="T44" s="47" t="s">
        <v>689</v>
      </c>
      <c r="U44" s="44" t="s">
        <v>690</v>
      </c>
      <c r="V44" s="45"/>
      <c r="W44" s="45" t="s">
        <v>688</v>
      </c>
      <c r="X44" s="47" t="s">
        <v>689</v>
      </c>
      <c r="Y44" s="45"/>
      <c r="Z44" s="45"/>
      <c r="AA44" s="47" t="s">
        <v>689</v>
      </c>
      <c r="AB44" s="45"/>
      <c r="AC44" s="45"/>
      <c r="AD44" s="45"/>
      <c r="AE44" s="45" t="s">
        <v>691</v>
      </c>
      <c r="AF44" s="45"/>
      <c r="AG44" s="44" t="s">
        <v>692</v>
      </c>
      <c r="AH44" s="44" t="s">
        <v>692</v>
      </c>
      <c r="AI44" s="45"/>
      <c r="AJ44" s="45"/>
      <c r="AK44" s="45" t="s">
        <v>693</v>
      </c>
      <c r="AL44" s="45"/>
      <c r="AM44" s="45" t="s">
        <v>693</v>
      </c>
      <c r="AN44" s="44">
        <f t="shared" si="3"/>
        <v>26</v>
      </c>
      <c r="AO44" s="45"/>
      <c r="AP44" s="45"/>
      <c r="AQ44" s="45"/>
      <c r="AR44" s="45"/>
      <c r="AS44" s="45"/>
      <c r="AT44" s="45"/>
      <c r="AU44" s="45">
        <f t="shared" si="2"/>
        <v>8720</v>
      </c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</row>
    <row r="45" spans="1:75" ht="15" customHeight="1" x14ac:dyDescent="0.35">
      <c r="A45" s="45"/>
      <c r="B45" s="44" t="s">
        <v>694</v>
      </c>
      <c r="C45" s="45" t="s">
        <v>695</v>
      </c>
      <c r="D45" s="45"/>
      <c r="E45" s="45"/>
      <c r="F45" s="48">
        <v>48</v>
      </c>
      <c r="G45" s="48"/>
      <c r="H45" s="44" t="s">
        <v>470</v>
      </c>
      <c r="I45" s="44">
        <v>54</v>
      </c>
      <c r="J45" s="48"/>
      <c r="K45" s="45"/>
      <c r="L45" s="45"/>
      <c r="M45" s="45"/>
      <c r="N45" s="45" t="s">
        <v>696</v>
      </c>
      <c r="O45" s="48" t="s">
        <v>303</v>
      </c>
      <c r="P45" s="44"/>
      <c r="Q45" s="45"/>
      <c r="R45" s="46">
        <v>28638</v>
      </c>
      <c r="S45" s="47">
        <v>1219</v>
      </c>
      <c r="T45" s="47" t="s">
        <v>697</v>
      </c>
      <c r="U45" s="44" t="s">
        <v>698</v>
      </c>
      <c r="V45" s="45"/>
      <c r="W45" s="45" t="s">
        <v>696</v>
      </c>
      <c r="X45" s="47" t="s">
        <v>697</v>
      </c>
      <c r="Y45" s="45"/>
      <c r="Z45" s="45"/>
      <c r="AA45" s="47" t="s">
        <v>697</v>
      </c>
      <c r="AB45" s="45"/>
      <c r="AC45" s="45"/>
      <c r="AD45" s="45"/>
      <c r="AE45" s="45" t="s">
        <v>699</v>
      </c>
      <c r="AF45" s="45"/>
      <c r="AG45" s="44" t="s">
        <v>542</v>
      </c>
      <c r="AH45" s="44" t="s">
        <v>542</v>
      </c>
      <c r="AI45" s="45"/>
      <c r="AJ45" s="45"/>
      <c r="AK45" s="45" t="s">
        <v>422</v>
      </c>
      <c r="AL45" s="45"/>
      <c r="AM45" s="45" t="s">
        <v>422</v>
      </c>
      <c r="AN45" s="44">
        <f t="shared" si="3"/>
        <v>39</v>
      </c>
      <c r="AO45" s="45"/>
      <c r="AP45" s="45"/>
      <c r="AQ45" s="45"/>
      <c r="AR45" s="45"/>
      <c r="AS45" s="45"/>
      <c r="AT45" s="45"/>
      <c r="AU45" s="45">
        <f t="shared" si="2"/>
        <v>45812</v>
      </c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</row>
    <row r="46" spans="1:75" ht="15" customHeight="1" x14ac:dyDescent="0.35">
      <c r="A46" s="45"/>
      <c r="B46" s="44" t="s">
        <v>700</v>
      </c>
      <c r="C46" s="45" t="s">
        <v>701</v>
      </c>
      <c r="D46" s="45"/>
      <c r="E46" s="45"/>
      <c r="F46" s="48">
        <v>63</v>
      </c>
      <c r="G46" s="48"/>
      <c r="H46" s="44" t="s">
        <v>518</v>
      </c>
      <c r="I46" s="44">
        <v>16</v>
      </c>
      <c r="J46" s="48"/>
      <c r="K46" s="45"/>
      <c r="L46" s="45"/>
      <c r="M46" s="45"/>
      <c r="N46" s="45" t="s">
        <v>702</v>
      </c>
      <c r="O46" s="48" t="s">
        <v>337</v>
      </c>
      <c r="P46" s="44"/>
      <c r="Q46" s="45"/>
      <c r="R46" s="46">
        <v>31321</v>
      </c>
      <c r="S46" s="47" t="s">
        <v>703</v>
      </c>
      <c r="T46" s="47" t="s">
        <v>690</v>
      </c>
      <c r="U46" s="44" t="s">
        <v>704</v>
      </c>
      <c r="V46" s="45"/>
      <c r="W46" s="45" t="s">
        <v>702</v>
      </c>
      <c r="X46" s="47" t="s">
        <v>690</v>
      </c>
      <c r="Y46" s="45"/>
      <c r="Z46" s="45"/>
      <c r="AA46" s="47" t="s">
        <v>690</v>
      </c>
      <c r="AB46" s="45"/>
      <c r="AC46" s="45"/>
      <c r="AD46" s="45"/>
      <c r="AE46" s="45" t="s">
        <v>705</v>
      </c>
      <c r="AF46" s="45"/>
      <c r="AG46" s="44" t="s">
        <v>535</v>
      </c>
      <c r="AH46" s="44" t="s">
        <v>535</v>
      </c>
      <c r="AI46" s="45"/>
      <c r="AJ46" s="45"/>
      <c r="AK46" s="45" t="s">
        <v>706</v>
      </c>
      <c r="AL46" s="45"/>
      <c r="AM46" s="45" t="s">
        <v>706</v>
      </c>
      <c r="AN46" s="44">
        <f t="shared" si="3"/>
        <v>31</v>
      </c>
      <c r="AO46" s="45"/>
      <c r="AP46" s="45"/>
      <c r="AQ46" s="45"/>
      <c r="AR46" s="45"/>
      <c r="AS46" s="45"/>
      <c r="AT46" s="45"/>
      <c r="AU46" s="45">
        <f t="shared" si="2"/>
        <v>15732</v>
      </c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</row>
    <row r="47" spans="1:75" ht="15" customHeight="1" x14ac:dyDescent="0.35">
      <c r="A47" s="45"/>
      <c r="B47" s="44" t="s">
        <v>707</v>
      </c>
      <c r="C47" s="45" t="s">
        <v>708</v>
      </c>
      <c r="D47" s="45"/>
      <c r="E47" s="45"/>
      <c r="F47" s="48">
        <v>42</v>
      </c>
      <c r="G47" s="48"/>
      <c r="H47" s="44" t="s">
        <v>502</v>
      </c>
      <c r="I47" s="44">
        <v>57</v>
      </c>
      <c r="J47" s="48"/>
      <c r="K47" s="45"/>
      <c r="L47" s="45"/>
      <c r="M47" s="45"/>
      <c r="N47" s="45" t="s">
        <v>709</v>
      </c>
      <c r="O47" s="48" t="s">
        <v>572</v>
      </c>
      <c r="P47" s="44"/>
      <c r="Q47" s="45"/>
      <c r="R47" s="46">
        <v>23440</v>
      </c>
      <c r="S47" s="47" t="s">
        <v>710</v>
      </c>
      <c r="T47" s="47" t="s">
        <v>711</v>
      </c>
      <c r="U47" s="44" t="s">
        <v>712</v>
      </c>
      <c r="V47" s="45"/>
      <c r="W47" s="45" t="s">
        <v>709</v>
      </c>
      <c r="X47" s="47" t="s">
        <v>711</v>
      </c>
      <c r="Y47" s="45"/>
      <c r="Z47" s="45"/>
      <c r="AA47" s="47" t="s">
        <v>711</v>
      </c>
      <c r="AB47" s="45"/>
      <c r="AC47" s="45"/>
      <c r="AD47" s="45"/>
      <c r="AE47" s="45" t="s">
        <v>713</v>
      </c>
      <c r="AF47" s="45"/>
      <c r="AG47" s="44" t="s">
        <v>525</v>
      </c>
      <c r="AH47" s="44" t="s">
        <v>525</v>
      </c>
      <c r="AI47" s="45"/>
      <c r="AJ47" s="45"/>
      <c r="AK47" s="45" t="s">
        <v>714</v>
      </c>
      <c r="AL47" s="45"/>
      <c r="AM47" s="45" t="s">
        <v>714</v>
      </c>
      <c r="AN47" s="44">
        <f t="shared" si="3"/>
        <v>34</v>
      </c>
      <c r="AO47" s="45"/>
      <c r="AP47" s="45"/>
      <c r="AQ47" s="45"/>
      <c r="AR47" s="45"/>
      <c r="AS47" s="45"/>
      <c r="AT47" s="45"/>
      <c r="AU47" s="45">
        <f t="shared" si="2"/>
        <v>106292</v>
      </c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</row>
    <row r="48" spans="1:75" ht="15" customHeight="1" x14ac:dyDescent="0.35">
      <c r="A48" s="45"/>
      <c r="B48" s="44" t="s">
        <v>715</v>
      </c>
      <c r="C48" s="45" t="s">
        <v>716</v>
      </c>
      <c r="D48" s="45"/>
      <c r="E48" s="45"/>
      <c r="F48" s="48">
        <v>58</v>
      </c>
      <c r="G48" s="48"/>
      <c r="H48" s="44" t="s">
        <v>717</v>
      </c>
      <c r="I48" s="44">
        <v>43</v>
      </c>
      <c r="J48" s="48"/>
      <c r="K48" s="45"/>
      <c r="L48" s="45"/>
      <c r="M48" s="45"/>
      <c r="N48" s="45" t="s">
        <v>718</v>
      </c>
      <c r="O48" s="48" t="s">
        <v>692</v>
      </c>
      <c r="P48" s="44"/>
      <c r="Q48" s="45"/>
      <c r="R48" s="46">
        <v>15502</v>
      </c>
      <c r="S48" s="47" t="s">
        <v>719</v>
      </c>
      <c r="T48" s="47" t="s">
        <v>720</v>
      </c>
      <c r="U48" s="44" t="s">
        <v>721</v>
      </c>
      <c r="V48" s="45"/>
      <c r="W48" s="45" t="s">
        <v>718</v>
      </c>
      <c r="X48" s="47" t="s">
        <v>720</v>
      </c>
      <c r="Y48" s="45"/>
      <c r="Z48" s="45"/>
      <c r="AA48" s="47" t="s">
        <v>720</v>
      </c>
      <c r="AB48" s="45"/>
      <c r="AC48" s="45"/>
      <c r="AD48" s="45"/>
      <c r="AE48" s="45" t="s">
        <v>722</v>
      </c>
      <c r="AF48" s="45"/>
      <c r="AG48" s="44" t="s">
        <v>358</v>
      </c>
      <c r="AH48" s="44" t="s">
        <v>358</v>
      </c>
      <c r="AI48" s="45"/>
      <c r="AJ48" s="45"/>
      <c r="AK48" s="45" t="s">
        <v>723</v>
      </c>
      <c r="AL48" s="45"/>
      <c r="AM48" s="45" t="s">
        <v>723</v>
      </c>
      <c r="AN48" s="44">
        <f t="shared" si="3"/>
        <v>23</v>
      </c>
      <c r="AO48" s="45"/>
      <c r="AP48" s="45"/>
      <c r="AQ48" s="45"/>
      <c r="AR48" s="45"/>
      <c r="AS48" s="45"/>
      <c r="AT48" s="45"/>
      <c r="AU48" s="45">
        <f t="shared" si="2"/>
        <v>9292</v>
      </c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</row>
    <row r="49" spans="1:75" ht="15" customHeight="1" x14ac:dyDescent="0.35">
      <c r="A49" s="45"/>
      <c r="B49" s="44" t="s">
        <v>724</v>
      </c>
      <c r="C49" s="45" t="s">
        <v>725</v>
      </c>
      <c r="D49" s="45"/>
      <c r="E49" s="45"/>
      <c r="F49" s="48">
        <v>45</v>
      </c>
      <c r="G49" s="48"/>
      <c r="H49" s="44" t="s">
        <v>561</v>
      </c>
      <c r="I49" s="44">
        <v>73</v>
      </c>
      <c r="J49" s="48"/>
      <c r="K49" s="45"/>
      <c r="L49" s="45"/>
      <c r="M49" s="45"/>
      <c r="N49" s="45" t="s">
        <v>726</v>
      </c>
      <c r="O49" s="48" t="s">
        <v>727</v>
      </c>
      <c r="P49" s="44"/>
      <c r="Q49" s="45"/>
      <c r="R49" s="46">
        <v>34834</v>
      </c>
      <c r="S49" s="47" t="s">
        <v>728</v>
      </c>
      <c r="T49" s="47" t="s">
        <v>363</v>
      </c>
      <c r="U49" s="44" t="s">
        <v>729</v>
      </c>
      <c r="V49" s="45"/>
      <c r="W49" s="45" t="s">
        <v>726</v>
      </c>
      <c r="X49" s="47" t="s">
        <v>363</v>
      </c>
      <c r="Y49" s="45"/>
      <c r="Z49" s="45"/>
      <c r="AA49" s="47" t="s">
        <v>363</v>
      </c>
      <c r="AB49" s="45"/>
      <c r="AC49" s="45"/>
      <c r="AD49" s="45"/>
      <c r="AE49" s="45" t="s">
        <v>730</v>
      </c>
      <c r="AF49" s="45"/>
      <c r="AG49" s="44" t="s">
        <v>383</v>
      </c>
      <c r="AH49" s="44" t="s">
        <v>383</v>
      </c>
      <c r="AI49" s="45"/>
      <c r="AJ49" s="45"/>
      <c r="AK49" s="45" t="s">
        <v>586</v>
      </c>
      <c r="AL49" s="45"/>
      <c r="AM49" s="45" t="s">
        <v>586</v>
      </c>
      <c r="AN49" s="44">
        <f t="shared" si="3"/>
        <v>28</v>
      </c>
      <c r="AO49" s="45"/>
      <c r="AP49" s="45"/>
      <c r="AQ49" s="45"/>
      <c r="AR49" s="45"/>
      <c r="AS49" s="45"/>
      <c r="AT49" s="45"/>
      <c r="AU49" s="45">
        <f t="shared" si="2"/>
        <v>46384</v>
      </c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</row>
    <row r="50" spans="1:75" ht="15" customHeight="1" x14ac:dyDescent="0.35">
      <c r="A50" s="45"/>
      <c r="B50" s="44" t="s">
        <v>731</v>
      </c>
      <c r="C50" s="45" t="s">
        <v>732</v>
      </c>
      <c r="D50" s="45"/>
      <c r="E50" s="45"/>
      <c r="F50" s="48">
        <v>50</v>
      </c>
      <c r="G50" s="48"/>
      <c r="H50" s="44" t="s">
        <v>584</v>
      </c>
      <c r="I50" s="44">
        <v>94</v>
      </c>
      <c r="J50" s="48"/>
      <c r="K50" s="45"/>
      <c r="L50" s="45"/>
      <c r="M50" s="45"/>
      <c r="N50" s="45" t="s">
        <v>733</v>
      </c>
      <c r="O50" s="48" t="s">
        <v>363</v>
      </c>
      <c r="P50" s="44"/>
      <c r="Q50" s="45"/>
      <c r="R50" s="46">
        <v>35553</v>
      </c>
      <c r="S50" s="47" t="s">
        <v>734</v>
      </c>
      <c r="T50" s="47" t="s">
        <v>735</v>
      </c>
      <c r="U50" s="44" t="s">
        <v>736</v>
      </c>
      <c r="V50" s="45"/>
      <c r="W50" s="45" t="s">
        <v>733</v>
      </c>
      <c r="X50" s="47" t="s">
        <v>735</v>
      </c>
      <c r="Y50" s="45"/>
      <c r="Z50" s="45"/>
      <c r="AA50" s="47" t="s">
        <v>735</v>
      </c>
      <c r="AB50" s="45"/>
      <c r="AC50" s="45"/>
      <c r="AD50" s="45"/>
      <c r="AE50" s="45" t="s">
        <v>737</v>
      </c>
      <c r="AF50" s="45"/>
      <c r="AG50" s="44" t="s">
        <v>371</v>
      </c>
      <c r="AH50" s="44" t="s">
        <v>371</v>
      </c>
      <c r="AI50" s="45"/>
      <c r="AJ50" s="45"/>
      <c r="AK50" s="45" t="s">
        <v>595</v>
      </c>
      <c r="AL50" s="45"/>
      <c r="AM50" s="45" t="s">
        <v>595</v>
      </c>
      <c r="AN50" s="44">
        <f t="shared" si="3"/>
        <v>41</v>
      </c>
      <c r="AO50" s="45"/>
      <c r="AP50" s="45"/>
      <c r="AQ50" s="45"/>
      <c r="AR50" s="45"/>
      <c r="AS50" s="45"/>
      <c r="AT50" s="45"/>
      <c r="AU50" s="45">
        <f t="shared" si="2"/>
        <v>16304</v>
      </c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</row>
    <row r="51" spans="1:75" ht="15" customHeight="1" x14ac:dyDescent="0.35">
      <c r="A51" s="45"/>
      <c r="B51" s="44" t="s">
        <v>738</v>
      </c>
      <c r="C51" s="45" t="s">
        <v>739</v>
      </c>
      <c r="D51" s="45"/>
      <c r="E51" s="45"/>
      <c r="F51" s="48">
        <v>65</v>
      </c>
      <c r="G51" s="48"/>
      <c r="H51" s="44" t="s">
        <v>269</v>
      </c>
      <c r="I51" s="44">
        <v>26</v>
      </c>
      <c r="J51" s="48"/>
      <c r="K51" s="45"/>
      <c r="L51" s="45"/>
      <c r="M51" s="45"/>
      <c r="N51" s="45" t="s">
        <v>740</v>
      </c>
      <c r="O51" s="48" t="s">
        <v>711</v>
      </c>
      <c r="P51" s="44"/>
      <c r="Q51" s="45"/>
      <c r="R51" s="46">
        <v>30051</v>
      </c>
      <c r="S51" s="47" t="s">
        <v>741</v>
      </c>
      <c r="T51" s="47" t="s">
        <v>480</v>
      </c>
      <c r="U51" s="44" t="s">
        <v>742</v>
      </c>
      <c r="V51" s="45"/>
      <c r="W51" s="45" t="s">
        <v>740</v>
      </c>
      <c r="X51" s="47" t="s">
        <v>480</v>
      </c>
      <c r="Y51" s="45"/>
      <c r="Z51" s="45"/>
      <c r="AA51" s="47" t="s">
        <v>480</v>
      </c>
      <c r="AB51" s="45"/>
      <c r="AC51" s="45"/>
      <c r="AD51" s="45"/>
      <c r="AE51" s="45" t="s">
        <v>743</v>
      </c>
      <c r="AF51" s="45"/>
      <c r="AG51" s="44" t="s">
        <v>274</v>
      </c>
      <c r="AH51" s="44" t="s">
        <v>274</v>
      </c>
      <c r="AI51" s="45"/>
      <c r="AJ51" s="45"/>
      <c r="AK51" s="45" t="s">
        <v>608</v>
      </c>
      <c r="AL51" s="45"/>
      <c r="AM51" s="45" t="s">
        <v>608</v>
      </c>
      <c r="AN51" s="44">
        <f t="shared" si="3"/>
        <v>33</v>
      </c>
      <c r="AO51" s="45"/>
      <c r="AP51" s="45"/>
      <c r="AQ51" s="45"/>
      <c r="AR51" s="45"/>
      <c r="AS51" s="45"/>
      <c r="AT51" s="45"/>
      <c r="AU51" s="45">
        <f t="shared" si="2"/>
        <v>106864</v>
      </c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</row>
    <row r="52" spans="1:75" ht="15" customHeight="1" x14ac:dyDescent="0.35">
      <c r="A52" s="45"/>
      <c r="B52" s="44" t="s">
        <v>744</v>
      </c>
      <c r="C52" s="45" t="s">
        <v>745</v>
      </c>
      <c r="D52" s="45"/>
      <c r="E52" s="45"/>
      <c r="F52" s="48">
        <v>44</v>
      </c>
      <c r="G52" s="48"/>
      <c r="H52" s="44" t="s">
        <v>746</v>
      </c>
      <c r="I52" s="44">
        <v>35</v>
      </c>
      <c r="J52" s="48"/>
      <c r="K52" s="45"/>
      <c r="L52" s="45"/>
      <c r="M52" s="45"/>
      <c r="N52" s="45" t="s">
        <v>747</v>
      </c>
      <c r="O52" s="48" t="s">
        <v>386</v>
      </c>
      <c r="P52" s="44"/>
      <c r="Q52" s="45"/>
      <c r="R52" s="46">
        <v>34503</v>
      </c>
      <c r="S52" s="47" t="s">
        <v>748</v>
      </c>
      <c r="T52" s="47" t="s">
        <v>749</v>
      </c>
      <c r="U52" s="44" t="s">
        <v>750</v>
      </c>
      <c r="V52" s="45"/>
      <c r="W52" s="45" t="s">
        <v>747</v>
      </c>
      <c r="X52" s="47" t="s">
        <v>749</v>
      </c>
      <c r="Y52" s="45"/>
      <c r="Z52" s="45"/>
      <c r="AA52" s="47" t="s">
        <v>749</v>
      </c>
      <c r="AB52" s="45"/>
      <c r="AC52" s="45"/>
      <c r="AD52" s="45"/>
      <c r="AE52" s="45" t="s">
        <v>751</v>
      </c>
      <c r="AF52" s="45"/>
      <c r="AG52" s="44" t="s">
        <v>250</v>
      </c>
      <c r="AH52" s="44" t="s">
        <v>250</v>
      </c>
      <c r="AI52" s="45"/>
      <c r="AJ52" s="45"/>
      <c r="AK52" s="45" t="s">
        <v>593</v>
      </c>
      <c r="AL52" s="45"/>
      <c r="AM52" s="45" t="s">
        <v>593</v>
      </c>
      <c r="AN52" s="44">
        <f t="shared" si="3"/>
        <v>36</v>
      </c>
      <c r="AO52" s="45"/>
      <c r="AP52" s="45"/>
      <c r="AQ52" s="45"/>
      <c r="AR52" s="45"/>
      <c r="AS52" s="45"/>
      <c r="AT52" s="45"/>
      <c r="AU52" s="45">
        <f t="shared" si="2"/>
        <v>9864</v>
      </c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</row>
    <row r="53" spans="1:75" ht="15" customHeight="1" x14ac:dyDescent="0.35">
      <c r="A53" s="45"/>
      <c r="B53" s="44" t="s">
        <v>752</v>
      </c>
      <c r="C53" s="45" t="s">
        <v>753</v>
      </c>
      <c r="D53" s="45"/>
      <c r="E53" s="45"/>
      <c r="F53" s="48">
        <v>60</v>
      </c>
      <c r="G53" s="48"/>
      <c r="H53" s="44" t="s">
        <v>754</v>
      </c>
      <c r="I53" s="44">
        <v>37</v>
      </c>
      <c r="J53" s="48"/>
      <c r="K53" s="45"/>
      <c r="L53" s="45"/>
      <c r="M53" s="45"/>
      <c r="N53" s="45" t="s">
        <v>339</v>
      </c>
      <c r="O53" s="48" t="s">
        <v>327</v>
      </c>
      <c r="P53" s="44"/>
      <c r="Q53" s="45"/>
      <c r="R53" s="46">
        <v>23001</v>
      </c>
      <c r="S53" s="47">
        <v>71364</v>
      </c>
      <c r="T53" s="47" t="s">
        <v>755</v>
      </c>
      <c r="U53" s="44" t="s">
        <v>756</v>
      </c>
      <c r="V53" s="45"/>
      <c r="W53" s="45" t="s">
        <v>339</v>
      </c>
      <c r="X53" s="47" t="s">
        <v>755</v>
      </c>
      <c r="Y53" s="45"/>
      <c r="Z53" s="45"/>
      <c r="AA53" s="47" t="s">
        <v>755</v>
      </c>
      <c r="AB53" s="45"/>
      <c r="AC53" s="45"/>
      <c r="AD53" s="45"/>
      <c r="AE53" s="45" t="s">
        <v>757</v>
      </c>
      <c r="AF53" s="45"/>
      <c r="AG53" s="44" t="s">
        <v>480</v>
      </c>
      <c r="AH53" s="44" t="s">
        <v>480</v>
      </c>
      <c r="AI53" s="45"/>
      <c r="AJ53" s="45"/>
      <c r="AK53" s="45" t="s">
        <v>582</v>
      </c>
      <c r="AL53" s="45"/>
      <c r="AM53" s="45" t="s">
        <v>582</v>
      </c>
      <c r="AN53" s="44">
        <f t="shared" si="3"/>
        <v>25</v>
      </c>
      <c r="AO53" s="45"/>
      <c r="AP53" s="45"/>
      <c r="AQ53" s="45"/>
      <c r="AR53" s="45"/>
      <c r="AS53" s="45"/>
      <c r="AT53" s="45"/>
      <c r="AU53" s="45">
        <f t="shared" si="2"/>
        <v>46956</v>
      </c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</row>
    <row r="54" spans="1:75" ht="15" customHeight="1" x14ac:dyDescent="0.35">
      <c r="A54" s="45"/>
      <c r="B54" s="44" t="s">
        <v>758</v>
      </c>
      <c r="C54" s="45" t="s">
        <v>759</v>
      </c>
      <c r="D54" s="45"/>
      <c r="E54" s="45"/>
      <c r="F54" s="48">
        <v>47</v>
      </c>
      <c r="G54" s="48"/>
      <c r="H54" s="44" t="s">
        <v>654</v>
      </c>
      <c r="I54" s="44">
        <v>3</v>
      </c>
      <c r="J54" s="48"/>
      <c r="K54" s="45"/>
      <c r="L54" s="45"/>
      <c r="M54" s="45"/>
      <c r="N54" s="45" t="s">
        <v>760</v>
      </c>
      <c r="O54" s="48" t="s">
        <v>401</v>
      </c>
      <c r="P54" s="44"/>
      <c r="Q54" s="45"/>
      <c r="R54" s="46">
        <v>30562</v>
      </c>
      <c r="S54" s="47" t="s">
        <v>761</v>
      </c>
      <c r="T54" s="47" t="s">
        <v>371</v>
      </c>
      <c r="U54" s="44" t="s">
        <v>762</v>
      </c>
      <c r="V54" s="45"/>
      <c r="W54" s="45" t="s">
        <v>760</v>
      </c>
      <c r="X54" s="47" t="s">
        <v>371</v>
      </c>
      <c r="Y54" s="45"/>
      <c r="Z54" s="45"/>
      <c r="AA54" s="47" t="s">
        <v>371</v>
      </c>
      <c r="AB54" s="45"/>
      <c r="AC54" s="45"/>
      <c r="AD54" s="45"/>
      <c r="AE54" s="45" t="s">
        <v>763</v>
      </c>
      <c r="AF54" s="45"/>
      <c r="AG54" s="44" t="s">
        <v>558</v>
      </c>
      <c r="AH54" s="44" t="s">
        <v>558</v>
      </c>
      <c r="AI54" s="45"/>
      <c r="AJ54" s="45"/>
      <c r="AK54" s="45" t="s">
        <v>601</v>
      </c>
      <c r="AL54" s="45"/>
      <c r="AM54" s="45" t="s">
        <v>601</v>
      </c>
      <c r="AN54" s="44">
        <f t="shared" si="3"/>
        <v>30</v>
      </c>
      <c r="AO54" s="45"/>
      <c r="AP54" s="45"/>
      <c r="AQ54" s="45"/>
      <c r="AR54" s="45"/>
      <c r="AS54" s="45"/>
      <c r="AT54" s="45"/>
      <c r="AU54" s="45">
        <f t="shared" si="2"/>
        <v>16876</v>
      </c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</row>
    <row r="55" spans="1:75" ht="15" customHeight="1" x14ac:dyDescent="0.35">
      <c r="A55" s="45"/>
      <c r="B55" s="44" t="s">
        <v>764</v>
      </c>
      <c r="C55" s="45" t="s">
        <v>765</v>
      </c>
      <c r="D55" s="45"/>
      <c r="E55" s="45"/>
      <c r="F55" s="48">
        <v>52</v>
      </c>
      <c r="G55" s="48"/>
      <c r="H55" s="44" t="s">
        <v>766</v>
      </c>
      <c r="I55" s="44">
        <v>29</v>
      </c>
      <c r="J55" s="48"/>
      <c r="K55" s="45"/>
      <c r="L55" s="45"/>
      <c r="M55" s="45"/>
      <c r="N55" s="45" t="s">
        <v>767</v>
      </c>
      <c r="O55" s="48" t="s">
        <v>378</v>
      </c>
      <c r="P55" s="44"/>
      <c r="Q55" s="45"/>
      <c r="R55" s="46">
        <v>36148</v>
      </c>
      <c r="S55" s="47" t="s">
        <v>768</v>
      </c>
      <c r="T55" s="47" t="s">
        <v>769</v>
      </c>
      <c r="U55" s="44" t="s">
        <v>770</v>
      </c>
      <c r="V55" s="45"/>
      <c r="W55" s="45" t="s">
        <v>767</v>
      </c>
      <c r="X55" s="47" t="s">
        <v>769</v>
      </c>
      <c r="Y55" s="45"/>
      <c r="Z55" s="45"/>
      <c r="AA55" s="47" t="s">
        <v>769</v>
      </c>
      <c r="AB55" s="45"/>
      <c r="AC55" s="45"/>
      <c r="AD55" s="45"/>
      <c r="AE55" s="45" t="s">
        <v>771</v>
      </c>
      <c r="AF55" s="45"/>
      <c r="AG55" s="44" t="s">
        <v>551</v>
      </c>
      <c r="AH55" s="44" t="s">
        <v>551</v>
      </c>
      <c r="AI55" s="45"/>
      <c r="AJ55" s="45"/>
      <c r="AK55" s="45" t="s">
        <v>769</v>
      </c>
      <c r="AL55" s="45"/>
      <c r="AM55" s="45" t="s">
        <v>769</v>
      </c>
      <c r="AN55" s="44">
        <f t="shared" si="3"/>
        <v>43</v>
      </c>
      <c r="AO55" s="45"/>
      <c r="AP55" s="45"/>
      <c r="AQ55" s="45"/>
      <c r="AR55" s="45"/>
      <c r="AS55" s="45"/>
      <c r="AT55" s="45"/>
      <c r="AU55" s="45">
        <f t="shared" si="2"/>
        <v>107436</v>
      </c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</row>
    <row r="56" spans="1:75" ht="15" customHeight="1" x14ac:dyDescent="0.35">
      <c r="A56" s="45"/>
      <c r="B56" s="44" t="s">
        <v>772</v>
      </c>
      <c r="C56" s="45" t="s">
        <v>773</v>
      </c>
      <c r="D56" s="45"/>
      <c r="E56" s="45"/>
      <c r="F56" s="48">
        <v>67</v>
      </c>
      <c r="G56" s="48"/>
      <c r="H56" s="44" t="s">
        <v>774</v>
      </c>
      <c r="I56" s="44">
        <v>61</v>
      </c>
      <c r="J56" s="48"/>
      <c r="K56" s="45"/>
      <c r="L56" s="45"/>
      <c r="M56" s="45"/>
      <c r="N56" s="45" t="s">
        <v>775</v>
      </c>
      <c r="O56" s="48" t="s">
        <v>376</v>
      </c>
      <c r="P56" s="44"/>
      <c r="Q56" s="45"/>
      <c r="R56" s="46">
        <v>16902</v>
      </c>
      <c r="S56" s="47" t="s">
        <v>776</v>
      </c>
      <c r="T56" s="47" t="s">
        <v>777</v>
      </c>
      <c r="U56" s="44" t="s">
        <v>778</v>
      </c>
      <c r="V56" s="45"/>
      <c r="W56" s="45" t="s">
        <v>775</v>
      </c>
      <c r="X56" s="47" t="s">
        <v>777</v>
      </c>
      <c r="Y56" s="45"/>
      <c r="Z56" s="45"/>
      <c r="AA56" s="47" t="s">
        <v>777</v>
      </c>
      <c r="AB56" s="45"/>
      <c r="AC56" s="45"/>
      <c r="AD56" s="45"/>
      <c r="AE56" s="45" t="s">
        <v>779</v>
      </c>
      <c r="AF56" s="45"/>
      <c r="AG56" s="44" t="s">
        <v>769</v>
      </c>
      <c r="AH56" s="44" t="s">
        <v>769</v>
      </c>
      <c r="AI56" s="45"/>
      <c r="AJ56" s="45"/>
      <c r="AK56" s="45" t="s">
        <v>777</v>
      </c>
      <c r="AL56" s="45"/>
      <c r="AM56" s="45" t="s">
        <v>777</v>
      </c>
      <c r="AN56" s="44">
        <f t="shared" si="3"/>
        <v>35</v>
      </c>
      <c r="AO56" s="45"/>
      <c r="AP56" s="45"/>
      <c r="AQ56" s="45"/>
      <c r="AR56" s="45"/>
      <c r="AS56" s="45"/>
      <c r="AT56" s="45"/>
      <c r="AU56" s="45">
        <f t="shared" si="2"/>
        <v>10436</v>
      </c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</row>
    <row r="57" spans="1:75" ht="15" customHeight="1" x14ac:dyDescent="0.35">
      <c r="A57" s="45"/>
      <c r="B57" s="44" t="s">
        <v>780</v>
      </c>
      <c r="C57" s="45" t="s">
        <v>781</v>
      </c>
      <c r="D57" s="45"/>
      <c r="E57" s="45"/>
      <c r="F57" s="48">
        <v>46</v>
      </c>
      <c r="G57" s="48"/>
      <c r="H57" s="44" t="s">
        <v>672</v>
      </c>
      <c r="I57" s="44">
        <v>87</v>
      </c>
      <c r="J57" s="48"/>
      <c r="K57" s="45"/>
      <c r="L57" s="45"/>
      <c r="M57" s="45"/>
      <c r="N57" s="45" t="s">
        <v>782</v>
      </c>
      <c r="O57" s="48" t="s">
        <v>356</v>
      </c>
      <c r="P57" s="44"/>
      <c r="Q57" s="45"/>
      <c r="R57" s="46">
        <v>26349</v>
      </c>
      <c r="S57" s="47" t="s">
        <v>783</v>
      </c>
      <c r="T57" s="47" t="s">
        <v>784</v>
      </c>
      <c r="U57" s="44" t="s">
        <v>785</v>
      </c>
      <c r="V57" s="45"/>
      <c r="W57" s="45" t="s">
        <v>782</v>
      </c>
      <c r="X57" s="47" t="s">
        <v>784</v>
      </c>
      <c r="Y57" s="45"/>
      <c r="Z57" s="45"/>
      <c r="AA57" s="47" t="s">
        <v>784</v>
      </c>
      <c r="AB57" s="45"/>
      <c r="AC57" s="45"/>
      <c r="AD57" s="45"/>
      <c r="AE57" s="45" t="s">
        <v>786</v>
      </c>
      <c r="AF57" s="45"/>
      <c r="AG57" s="44" t="s">
        <v>784</v>
      </c>
      <c r="AH57" s="44" t="s">
        <v>784</v>
      </c>
      <c r="AI57" s="45"/>
      <c r="AJ57" s="45"/>
      <c r="AK57" s="45" t="s">
        <v>784</v>
      </c>
      <c r="AL57" s="45"/>
      <c r="AM57" s="45" t="s">
        <v>784</v>
      </c>
      <c r="AN57" s="44">
        <f t="shared" si="3"/>
        <v>38</v>
      </c>
      <c r="AO57" s="45"/>
      <c r="AP57" s="45"/>
      <c r="AQ57" s="45"/>
      <c r="AR57" s="45"/>
      <c r="AS57" s="45"/>
      <c r="AT57" s="45"/>
      <c r="AU57" s="45">
        <f t="shared" si="2"/>
        <v>47528</v>
      </c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</row>
    <row r="58" spans="1:75" ht="15" customHeight="1" x14ac:dyDescent="0.35">
      <c r="A58" s="45"/>
      <c r="B58" s="44" t="s">
        <v>787</v>
      </c>
      <c r="C58" s="45" t="s">
        <v>788</v>
      </c>
      <c r="D58" s="45"/>
      <c r="E58" s="45"/>
      <c r="F58" s="48">
        <v>62</v>
      </c>
      <c r="G58" s="48"/>
      <c r="H58" s="44" t="s">
        <v>789</v>
      </c>
      <c r="I58" s="44">
        <v>25</v>
      </c>
      <c r="J58" s="48"/>
      <c r="K58" s="45"/>
      <c r="L58" s="45"/>
      <c r="M58" s="45"/>
      <c r="N58" s="45" t="s">
        <v>790</v>
      </c>
      <c r="O58" s="48" t="s">
        <v>366</v>
      </c>
      <c r="P58" s="44"/>
      <c r="Q58" s="45"/>
      <c r="R58" s="46">
        <v>32849</v>
      </c>
      <c r="S58" s="47" t="s">
        <v>791</v>
      </c>
      <c r="T58" s="47" t="s">
        <v>792</v>
      </c>
      <c r="U58" s="44" t="s">
        <v>793</v>
      </c>
      <c r="V58" s="45"/>
      <c r="W58" s="45" t="s">
        <v>790</v>
      </c>
      <c r="X58" s="47" t="s">
        <v>792</v>
      </c>
      <c r="Y58" s="45"/>
      <c r="Z58" s="45"/>
      <c r="AA58" s="47" t="s">
        <v>792</v>
      </c>
      <c r="AB58" s="45"/>
      <c r="AC58" s="45"/>
      <c r="AD58" s="45"/>
      <c r="AE58" s="45" t="s">
        <v>794</v>
      </c>
      <c r="AF58" s="45"/>
      <c r="AG58" s="44" t="s">
        <v>795</v>
      </c>
      <c r="AH58" s="44" t="s">
        <v>795</v>
      </c>
      <c r="AI58" s="45"/>
      <c r="AJ58" s="45"/>
      <c r="AK58" s="45" t="s">
        <v>672</v>
      </c>
      <c r="AL58" s="45"/>
      <c r="AM58" s="45" t="s">
        <v>672</v>
      </c>
      <c r="AN58" s="44">
        <f t="shared" si="3"/>
        <v>27</v>
      </c>
      <c r="AO58" s="45"/>
      <c r="AP58" s="45"/>
      <c r="AQ58" s="45"/>
      <c r="AR58" s="45"/>
      <c r="AS58" s="45"/>
      <c r="AT58" s="45"/>
      <c r="AU58" s="45">
        <f t="shared" si="2"/>
        <v>17448</v>
      </c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</row>
    <row r="59" spans="1:75" ht="15" customHeight="1" x14ac:dyDescent="0.35">
      <c r="A59" s="45"/>
      <c r="B59" s="44" t="s">
        <v>796</v>
      </c>
      <c r="C59" s="45" t="s">
        <v>797</v>
      </c>
      <c r="D59" s="45"/>
      <c r="E59" s="45"/>
      <c r="F59" s="48">
        <v>49</v>
      </c>
      <c r="G59" s="48"/>
      <c r="H59" s="44" t="s">
        <v>798</v>
      </c>
      <c r="I59" s="44">
        <v>13</v>
      </c>
      <c r="J59" s="48"/>
      <c r="K59" s="45"/>
      <c r="L59" s="45"/>
      <c r="M59" s="45"/>
      <c r="N59" s="45" t="s">
        <v>799</v>
      </c>
      <c r="O59" s="48" t="s">
        <v>795</v>
      </c>
      <c r="P59" s="44"/>
      <c r="Q59" s="45"/>
      <c r="R59" s="46">
        <v>33418</v>
      </c>
      <c r="S59" s="47">
        <v>53332</v>
      </c>
      <c r="T59" s="47" t="s">
        <v>531</v>
      </c>
      <c r="U59" s="44" t="s">
        <v>800</v>
      </c>
      <c r="V59" s="45"/>
      <c r="W59" s="45" t="s">
        <v>799</v>
      </c>
      <c r="X59" s="47" t="s">
        <v>531</v>
      </c>
      <c r="Y59" s="45"/>
      <c r="Z59" s="45"/>
      <c r="AA59" s="47" t="s">
        <v>531</v>
      </c>
      <c r="AB59" s="45"/>
      <c r="AC59" s="45"/>
      <c r="AD59" s="45"/>
      <c r="AE59" s="45" t="s">
        <v>801</v>
      </c>
      <c r="AF59" s="45"/>
      <c r="AG59" s="44" t="s">
        <v>727</v>
      </c>
      <c r="AH59" s="44" t="s">
        <v>727</v>
      </c>
      <c r="AI59" s="45"/>
      <c r="AJ59" s="45"/>
      <c r="AK59" s="45" t="s">
        <v>766</v>
      </c>
      <c r="AL59" s="45"/>
      <c r="AM59" s="45" t="s">
        <v>766</v>
      </c>
      <c r="AN59" s="44">
        <f t="shared" si="3"/>
        <v>32</v>
      </c>
      <c r="AO59" s="45"/>
      <c r="AP59" s="45"/>
      <c r="AQ59" s="45"/>
      <c r="AR59" s="45"/>
      <c r="AS59" s="45"/>
      <c r="AT59" s="45"/>
      <c r="AU59" s="45">
        <f t="shared" si="2"/>
        <v>108008</v>
      </c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</row>
    <row r="60" spans="1:75" ht="15" customHeight="1" x14ac:dyDescent="0.35">
      <c r="A60" s="45"/>
      <c r="B60" s="44" t="s">
        <v>802</v>
      </c>
      <c r="C60" s="45" t="s">
        <v>803</v>
      </c>
      <c r="D60" s="45"/>
      <c r="E60" s="45"/>
      <c r="F60" s="48">
        <v>54</v>
      </c>
      <c r="G60" s="48"/>
      <c r="H60" s="44" t="s">
        <v>804</v>
      </c>
      <c r="I60" s="44">
        <v>60</v>
      </c>
      <c r="J60" s="48"/>
      <c r="K60" s="45"/>
      <c r="L60" s="45"/>
      <c r="M60" s="45"/>
      <c r="N60" s="45" t="s">
        <v>805</v>
      </c>
      <c r="O60" s="48" t="s">
        <v>277</v>
      </c>
      <c r="P60" s="44"/>
      <c r="Q60" s="45"/>
      <c r="R60" s="46">
        <v>25066</v>
      </c>
      <c r="S60" s="47" t="s">
        <v>806</v>
      </c>
      <c r="T60" s="47" t="s">
        <v>428</v>
      </c>
      <c r="U60" s="44" t="s">
        <v>807</v>
      </c>
      <c r="V60" s="45"/>
      <c r="W60" s="45" t="s">
        <v>805</v>
      </c>
      <c r="X60" s="47" t="s">
        <v>428</v>
      </c>
      <c r="Y60" s="45"/>
      <c r="Z60" s="45"/>
      <c r="AA60" s="47" t="s">
        <v>428</v>
      </c>
      <c r="AB60" s="45"/>
      <c r="AC60" s="45"/>
      <c r="AD60" s="45"/>
      <c r="AE60" s="45" t="s">
        <v>808</v>
      </c>
      <c r="AF60" s="45"/>
      <c r="AG60" s="44" t="s">
        <v>316</v>
      </c>
      <c r="AH60" s="44" t="s">
        <v>316</v>
      </c>
      <c r="AI60" s="45"/>
      <c r="AJ60" s="45"/>
      <c r="AK60" s="45" t="s">
        <v>809</v>
      </c>
      <c r="AL60" s="45"/>
      <c r="AM60" s="45" t="s">
        <v>809</v>
      </c>
      <c r="AN60" s="44">
        <f t="shared" si="3"/>
        <v>45</v>
      </c>
      <c r="AO60" s="45"/>
      <c r="AP60" s="45"/>
      <c r="AQ60" s="45"/>
      <c r="AR60" s="45"/>
      <c r="AS60" s="45"/>
      <c r="AT60" s="45"/>
      <c r="AU60" s="45">
        <f t="shared" si="2"/>
        <v>11008</v>
      </c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</row>
    <row r="61" spans="1:75" ht="15" customHeight="1" x14ac:dyDescent="0.35">
      <c r="A61" s="45"/>
      <c r="B61" s="44" t="s">
        <v>810</v>
      </c>
      <c r="C61" s="45" t="s">
        <v>811</v>
      </c>
      <c r="D61" s="45"/>
      <c r="E61" s="45"/>
      <c r="F61" s="48">
        <v>69</v>
      </c>
      <c r="G61" s="48"/>
      <c r="H61" s="44" t="s">
        <v>812</v>
      </c>
      <c r="I61" s="44">
        <v>46</v>
      </c>
      <c r="J61" s="48"/>
      <c r="K61" s="45"/>
      <c r="L61" s="45"/>
      <c r="M61" s="45"/>
      <c r="N61" s="45" t="s">
        <v>813</v>
      </c>
      <c r="O61" s="48" t="s">
        <v>254</v>
      </c>
      <c r="P61" s="44"/>
      <c r="Q61" s="45"/>
      <c r="R61" s="46">
        <v>29230</v>
      </c>
      <c r="S61" s="47">
        <v>75257</v>
      </c>
      <c r="T61" s="47" t="s">
        <v>546</v>
      </c>
      <c r="U61" s="44" t="s">
        <v>814</v>
      </c>
      <c r="V61" s="45"/>
      <c r="W61" s="45" t="s">
        <v>813</v>
      </c>
      <c r="X61" s="47" t="s">
        <v>546</v>
      </c>
      <c r="Y61" s="45"/>
      <c r="Z61" s="45"/>
      <c r="AA61" s="47" t="s">
        <v>546</v>
      </c>
      <c r="AB61" s="45"/>
      <c r="AC61" s="45"/>
      <c r="AD61" s="45"/>
      <c r="AE61" s="45" t="s">
        <v>815</v>
      </c>
      <c r="AF61" s="45"/>
      <c r="AG61" s="44" t="s">
        <v>332</v>
      </c>
      <c r="AH61" s="44" t="s">
        <v>332</v>
      </c>
      <c r="AI61" s="45"/>
      <c r="AJ61" s="45"/>
      <c r="AK61" s="45" t="s">
        <v>816</v>
      </c>
      <c r="AL61" s="45"/>
      <c r="AM61" s="45" t="s">
        <v>816</v>
      </c>
      <c r="AN61" s="44">
        <f t="shared" si="3"/>
        <v>37</v>
      </c>
      <c r="AO61" s="45"/>
      <c r="AP61" s="45"/>
      <c r="AQ61" s="45"/>
      <c r="AR61" s="45"/>
      <c r="AS61" s="45"/>
      <c r="AT61" s="45"/>
      <c r="AU61" s="45">
        <f t="shared" si="2"/>
        <v>48100</v>
      </c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</row>
    <row r="62" spans="1:75" ht="15" customHeight="1" x14ac:dyDescent="0.35">
      <c r="A62" s="45"/>
      <c r="B62" s="44" t="s">
        <v>817</v>
      </c>
      <c r="C62" s="45" t="s">
        <v>818</v>
      </c>
      <c r="D62" s="45"/>
      <c r="E62" s="45"/>
      <c r="F62" s="48">
        <v>48</v>
      </c>
      <c r="G62" s="48"/>
      <c r="H62" s="44" t="s">
        <v>819</v>
      </c>
      <c r="I62" s="44">
        <v>80</v>
      </c>
      <c r="J62" s="48"/>
      <c r="K62" s="45"/>
      <c r="L62" s="45"/>
      <c r="M62" s="45"/>
      <c r="N62" s="45" t="s">
        <v>820</v>
      </c>
      <c r="O62" s="48" t="s">
        <v>684</v>
      </c>
      <c r="P62" s="44"/>
      <c r="Q62" s="45"/>
      <c r="R62" s="46">
        <v>29408</v>
      </c>
      <c r="S62" s="47">
        <v>53902</v>
      </c>
      <c r="T62" s="47" t="s">
        <v>821</v>
      </c>
      <c r="U62" s="44" t="s">
        <v>822</v>
      </c>
      <c r="V62" s="45"/>
      <c r="W62" s="45" t="s">
        <v>820</v>
      </c>
      <c r="X62" s="47" t="s">
        <v>821</v>
      </c>
      <c r="Y62" s="45"/>
      <c r="Z62" s="45"/>
      <c r="AA62" s="47" t="s">
        <v>821</v>
      </c>
      <c r="AB62" s="45"/>
      <c r="AC62" s="45"/>
      <c r="AD62" s="45"/>
      <c r="AE62" s="45" t="s">
        <v>823</v>
      </c>
      <c r="AF62" s="45"/>
      <c r="AG62" s="44" t="s">
        <v>386</v>
      </c>
      <c r="AH62" s="44" t="s">
        <v>386</v>
      </c>
      <c r="AI62" s="45"/>
      <c r="AJ62" s="45"/>
      <c r="AK62" s="45" t="s">
        <v>824</v>
      </c>
      <c r="AL62" s="45"/>
      <c r="AM62" s="45" t="s">
        <v>824</v>
      </c>
      <c r="AN62" s="44">
        <f t="shared" si="3"/>
        <v>40</v>
      </c>
      <c r="AO62" s="45"/>
      <c r="AP62" s="45"/>
      <c r="AQ62" s="45"/>
      <c r="AR62" s="45"/>
      <c r="AS62" s="45"/>
      <c r="AT62" s="45"/>
      <c r="AU62" s="45">
        <f t="shared" si="2"/>
        <v>18020</v>
      </c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</row>
    <row r="63" spans="1:75" ht="15" customHeight="1" x14ac:dyDescent="0.35">
      <c r="A63" s="45"/>
      <c r="B63" s="44" t="s">
        <v>825</v>
      </c>
      <c r="C63" s="45" t="s">
        <v>826</v>
      </c>
      <c r="D63" s="45"/>
      <c r="E63" s="45"/>
      <c r="F63" s="48">
        <v>64</v>
      </c>
      <c r="G63" s="48"/>
      <c r="H63" s="44" t="s">
        <v>334</v>
      </c>
      <c r="I63" s="44">
        <v>65</v>
      </c>
      <c r="J63" s="48"/>
      <c r="K63" s="45"/>
      <c r="L63" s="45"/>
      <c r="M63" s="45"/>
      <c r="N63" s="45" t="s">
        <v>827</v>
      </c>
      <c r="O63" s="48" t="s">
        <v>676</v>
      </c>
      <c r="P63" s="44"/>
      <c r="Q63" s="45"/>
      <c r="R63" s="46">
        <v>27925</v>
      </c>
      <c r="S63" s="47" t="s">
        <v>828</v>
      </c>
      <c r="T63" s="47" t="s">
        <v>554</v>
      </c>
      <c r="U63" s="44" t="s">
        <v>829</v>
      </c>
      <c r="V63" s="45"/>
      <c r="W63" s="45" t="s">
        <v>827</v>
      </c>
      <c r="X63" s="47" t="s">
        <v>554</v>
      </c>
      <c r="Y63" s="45"/>
      <c r="Z63" s="45"/>
      <c r="AA63" s="47" t="s">
        <v>554</v>
      </c>
      <c r="AB63" s="45"/>
      <c r="AC63" s="45"/>
      <c r="AD63" s="45"/>
      <c r="AE63" s="45" t="s">
        <v>830</v>
      </c>
      <c r="AF63" s="45"/>
      <c r="AG63" s="44" t="s">
        <v>831</v>
      </c>
      <c r="AH63" s="44" t="s">
        <v>831</v>
      </c>
      <c r="AI63" s="45"/>
      <c r="AJ63" s="45"/>
      <c r="AK63" s="45" t="s">
        <v>558</v>
      </c>
      <c r="AL63" s="45"/>
      <c r="AM63" s="45" t="s">
        <v>558</v>
      </c>
      <c r="AN63" s="44">
        <f t="shared" si="3"/>
        <v>29</v>
      </c>
      <c r="AO63" s="45"/>
      <c r="AP63" s="45"/>
      <c r="AQ63" s="45"/>
      <c r="AR63" s="45"/>
      <c r="AS63" s="45"/>
      <c r="AT63" s="45"/>
      <c r="AU63" s="45">
        <f t="shared" si="2"/>
        <v>108580</v>
      </c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</row>
    <row r="64" spans="1:75" ht="15" customHeight="1" x14ac:dyDescent="0.35">
      <c r="A64" s="45"/>
      <c r="B64" s="44" t="s">
        <v>832</v>
      </c>
      <c r="C64" s="45" t="s">
        <v>833</v>
      </c>
      <c r="D64" s="45"/>
      <c r="E64" s="45"/>
      <c r="F64" s="48">
        <v>51</v>
      </c>
      <c r="G64" s="48"/>
      <c r="H64" s="44" t="s">
        <v>834</v>
      </c>
      <c r="I64" s="44">
        <v>15</v>
      </c>
      <c r="J64" s="48"/>
      <c r="K64" s="45"/>
      <c r="L64" s="45"/>
      <c r="M64" s="45"/>
      <c r="N64" s="45" t="s">
        <v>835</v>
      </c>
      <c r="O64" s="48" t="s">
        <v>422</v>
      </c>
      <c r="P64" s="44"/>
      <c r="Q64" s="45"/>
      <c r="R64" s="46">
        <v>33429</v>
      </c>
      <c r="S64" s="47" t="s">
        <v>836</v>
      </c>
      <c r="T64" s="47" t="s">
        <v>334</v>
      </c>
      <c r="U64" s="44" t="s">
        <v>837</v>
      </c>
      <c r="V64" s="45"/>
      <c r="W64" s="45" t="s">
        <v>835</v>
      </c>
      <c r="X64" s="47" t="s">
        <v>334</v>
      </c>
      <c r="Y64" s="45"/>
      <c r="Z64" s="45"/>
      <c r="AA64" s="47" t="s">
        <v>334</v>
      </c>
      <c r="AB64" s="45"/>
      <c r="AC64" s="45"/>
      <c r="AD64" s="45"/>
      <c r="AE64" s="45" t="s">
        <v>838</v>
      </c>
      <c r="AF64" s="45"/>
      <c r="AG64" s="44" t="s">
        <v>416</v>
      </c>
      <c r="AH64" s="44" t="s">
        <v>416</v>
      </c>
      <c r="AI64" s="45"/>
      <c r="AJ64" s="45"/>
      <c r="AK64" s="45" t="s">
        <v>839</v>
      </c>
      <c r="AL64" s="45"/>
      <c r="AM64" s="45" t="s">
        <v>839</v>
      </c>
      <c r="AN64" s="44">
        <f t="shared" si="3"/>
        <v>34</v>
      </c>
      <c r="AO64" s="45"/>
      <c r="AP64" s="45"/>
      <c r="AQ64" s="45"/>
      <c r="AR64" s="45"/>
      <c r="AS64" s="45"/>
      <c r="AT64" s="45"/>
      <c r="AU64" s="45">
        <f t="shared" si="2"/>
        <v>11580</v>
      </c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</row>
    <row r="65" spans="1:75" ht="15" customHeight="1" x14ac:dyDescent="0.35">
      <c r="A65" s="45"/>
      <c r="B65" s="44" t="s">
        <v>840</v>
      </c>
      <c r="C65" s="45" t="s">
        <v>841</v>
      </c>
      <c r="D65" s="45"/>
      <c r="E65" s="45"/>
      <c r="F65" s="48">
        <v>56</v>
      </c>
      <c r="G65" s="48"/>
      <c r="H65" s="44" t="s">
        <v>242</v>
      </c>
      <c r="I65" s="44">
        <v>6</v>
      </c>
      <c r="J65" s="48"/>
      <c r="K65" s="45"/>
      <c r="L65" s="45"/>
      <c r="M65" s="45"/>
      <c r="N65" s="45" t="s">
        <v>842</v>
      </c>
      <c r="O65" s="48" t="s">
        <v>843</v>
      </c>
      <c r="P65" s="44"/>
      <c r="Q65" s="45"/>
      <c r="R65" s="46">
        <v>24083</v>
      </c>
      <c r="S65" s="47" t="s">
        <v>844</v>
      </c>
      <c r="T65" s="47" t="s">
        <v>706</v>
      </c>
      <c r="U65" s="44" t="s">
        <v>845</v>
      </c>
      <c r="V65" s="45"/>
      <c r="W65" s="45" t="s">
        <v>842</v>
      </c>
      <c r="X65" s="47" t="s">
        <v>706</v>
      </c>
      <c r="Y65" s="45"/>
      <c r="Z65" s="45"/>
      <c r="AA65" s="47" t="s">
        <v>706</v>
      </c>
      <c r="AB65" s="45"/>
      <c r="AC65" s="45"/>
      <c r="AD65" s="45"/>
      <c r="AE65" s="45" t="s">
        <v>846</v>
      </c>
      <c r="AF65" s="45"/>
      <c r="AG65" s="44" t="s">
        <v>664</v>
      </c>
      <c r="AH65" s="44" t="s">
        <v>664</v>
      </c>
      <c r="AI65" s="45"/>
      <c r="AJ65" s="45"/>
      <c r="AK65" s="45" t="s">
        <v>847</v>
      </c>
      <c r="AL65" s="45"/>
      <c r="AM65" s="45" t="s">
        <v>847</v>
      </c>
      <c r="AN65" s="44">
        <f t="shared" si="3"/>
        <v>47</v>
      </c>
      <c r="AO65" s="45"/>
      <c r="AP65" s="45"/>
      <c r="AQ65" s="45"/>
      <c r="AR65" s="45"/>
      <c r="AS65" s="45"/>
      <c r="AT65" s="45"/>
      <c r="AU65" s="45">
        <f t="shared" si="2"/>
        <v>48672</v>
      </c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</row>
    <row r="66" spans="1:75" ht="15" customHeight="1" x14ac:dyDescent="0.35">
      <c r="A66" s="45"/>
      <c r="B66" s="44" t="s">
        <v>848</v>
      </c>
      <c r="C66" s="45" t="s">
        <v>849</v>
      </c>
      <c r="D66" s="45"/>
      <c r="E66" s="45"/>
      <c r="F66" s="48">
        <v>71</v>
      </c>
      <c r="G66" s="48"/>
      <c r="H66" s="44" t="s">
        <v>321</v>
      </c>
      <c r="I66" s="44">
        <v>86</v>
      </c>
      <c r="J66" s="48"/>
      <c r="K66" s="45"/>
      <c r="L66" s="45"/>
      <c r="M66" s="45"/>
      <c r="N66" s="45" t="s">
        <v>850</v>
      </c>
      <c r="O66" s="48" t="s">
        <v>851</v>
      </c>
      <c r="P66" s="44"/>
      <c r="Q66" s="45"/>
      <c r="R66" s="46">
        <v>23424</v>
      </c>
      <c r="S66" s="47" t="s">
        <v>852</v>
      </c>
      <c r="T66" s="47" t="s">
        <v>834</v>
      </c>
      <c r="U66" s="44" t="s">
        <v>853</v>
      </c>
      <c r="V66" s="45"/>
      <c r="W66" s="45" t="s">
        <v>850</v>
      </c>
      <c r="X66" s="47" t="s">
        <v>834</v>
      </c>
      <c r="Y66" s="45"/>
      <c r="Z66" s="45"/>
      <c r="AA66" s="47" t="s">
        <v>834</v>
      </c>
      <c r="AB66" s="45"/>
      <c r="AC66" s="45"/>
      <c r="AD66" s="45"/>
      <c r="AE66" s="45" t="s">
        <v>854</v>
      </c>
      <c r="AF66" s="45"/>
      <c r="AG66" s="44" t="s">
        <v>313</v>
      </c>
      <c r="AH66" s="44" t="s">
        <v>313</v>
      </c>
      <c r="AI66" s="45"/>
      <c r="AJ66" s="45"/>
      <c r="AK66" s="45" t="s">
        <v>855</v>
      </c>
      <c r="AL66" s="45"/>
      <c r="AM66" s="45" t="s">
        <v>855</v>
      </c>
      <c r="AN66" s="44">
        <f t="shared" si="3"/>
        <v>39</v>
      </c>
      <c r="AO66" s="45"/>
      <c r="AP66" s="45"/>
      <c r="AQ66" s="45"/>
      <c r="AR66" s="45"/>
      <c r="AS66" s="45"/>
      <c r="AT66" s="45"/>
      <c r="AU66" s="45">
        <f t="shared" si="2"/>
        <v>18592</v>
      </c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</row>
    <row r="67" spans="1:75" ht="15" customHeight="1" x14ac:dyDescent="0.35">
      <c r="A67" s="45"/>
      <c r="B67" s="44" t="s">
        <v>856</v>
      </c>
      <c r="C67" s="45" t="s">
        <v>857</v>
      </c>
      <c r="D67" s="45"/>
      <c r="E67" s="45"/>
      <c r="F67" s="48">
        <v>50</v>
      </c>
      <c r="G67" s="48"/>
      <c r="H67" s="44" t="s">
        <v>337</v>
      </c>
      <c r="I67" s="44">
        <v>32</v>
      </c>
      <c r="J67" s="48"/>
      <c r="K67" s="45"/>
      <c r="L67" s="45"/>
      <c r="M67" s="45"/>
      <c r="N67" s="45" t="s">
        <v>858</v>
      </c>
      <c r="O67" s="48" t="s">
        <v>628</v>
      </c>
      <c r="P67" s="44"/>
      <c r="Q67" s="45"/>
      <c r="R67" s="46">
        <v>27448</v>
      </c>
      <c r="S67" s="47">
        <v>4340</v>
      </c>
      <c r="T67" s="47" t="s">
        <v>859</v>
      </c>
      <c r="U67" s="44" t="s">
        <v>860</v>
      </c>
      <c r="V67" s="45"/>
      <c r="W67" s="45" t="s">
        <v>858</v>
      </c>
      <c r="X67" s="47" t="s">
        <v>859</v>
      </c>
      <c r="Y67" s="45"/>
      <c r="Z67" s="45"/>
      <c r="AA67" s="47" t="s">
        <v>859</v>
      </c>
      <c r="AB67" s="45"/>
      <c r="AC67" s="45"/>
      <c r="AD67" s="45"/>
      <c r="AE67" s="45" t="s">
        <v>861</v>
      </c>
      <c r="AF67" s="45"/>
      <c r="AG67" s="44" t="s">
        <v>346</v>
      </c>
      <c r="AH67" s="44" t="s">
        <v>346</v>
      </c>
      <c r="AI67" s="45"/>
      <c r="AJ67" s="45"/>
      <c r="AK67" s="45" t="s">
        <v>862</v>
      </c>
      <c r="AL67" s="45"/>
      <c r="AM67" s="45" t="s">
        <v>862</v>
      </c>
      <c r="AN67" s="44">
        <f t="shared" si="3"/>
        <v>42</v>
      </c>
      <c r="AO67" s="45"/>
      <c r="AP67" s="45"/>
      <c r="AQ67" s="45"/>
      <c r="AR67" s="45"/>
      <c r="AS67" s="45"/>
      <c r="AT67" s="45"/>
      <c r="AU67" s="45">
        <f t="shared" si="2"/>
        <v>109152</v>
      </c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</row>
    <row r="68" spans="1:75" ht="15" customHeight="1" x14ac:dyDescent="0.35">
      <c r="A68" s="45"/>
      <c r="B68" s="44" t="s">
        <v>863</v>
      </c>
      <c r="C68" s="45" t="s">
        <v>864</v>
      </c>
      <c r="D68" s="45"/>
      <c r="E68" s="45"/>
      <c r="F68" s="48">
        <v>66</v>
      </c>
      <c r="G68" s="48"/>
      <c r="H68" s="44" t="s">
        <v>865</v>
      </c>
      <c r="I68" s="44">
        <v>15</v>
      </c>
      <c r="J68" s="48"/>
      <c r="K68" s="45"/>
      <c r="L68" s="45"/>
      <c r="M68" s="45"/>
      <c r="N68" s="45" t="s">
        <v>866</v>
      </c>
      <c r="O68" s="48" t="s">
        <v>867</v>
      </c>
      <c r="P68" s="44"/>
      <c r="Q68" s="45"/>
      <c r="R68" s="46">
        <v>34486</v>
      </c>
      <c r="S68" s="47" t="s">
        <v>868</v>
      </c>
      <c r="T68" s="47" t="s">
        <v>323</v>
      </c>
      <c r="U68" s="44" t="s">
        <v>869</v>
      </c>
      <c r="V68" s="45"/>
      <c r="W68" s="45" t="s">
        <v>866</v>
      </c>
      <c r="X68" s="47" t="s">
        <v>323</v>
      </c>
      <c r="Y68" s="45"/>
      <c r="Z68" s="45"/>
      <c r="AA68" s="47" t="s">
        <v>323</v>
      </c>
      <c r="AB68" s="45"/>
      <c r="AC68" s="45"/>
      <c r="AD68" s="45"/>
      <c r="AE68" s="45" t="s">
        <v>870</v>
      </c>
      <c r="AF68" s="45"/>
      <c r="AG68" s="44" t="s">
        <v>330</v>
      </c>
      <c r="AH68" s="44" t="s">
        <v>330</v>
      </c>
      <c r="AI68" s="45"/>
      <c r="AJ68" s="45"/>
      <c r="AK68" s="45" t="s">
        <v>416</v>
      </c>
      <c r="AL68" s="45"/>
      <c r="AM68" s="45" t="s">
        <v>416</v>
      </c>
      <c r="AN68" s="44">
        <f t="shared" si="3"/>
        <v>31</v>
      </c>
      <c r="AO68" s="45"/>
      <c r="AP68" s="45"/>
      <c r="AQ68" s="45"/>
      <c r="AR68" s="45"/>
      <c r="AS68" s="45"/>
      <c r="AT68" s="45"/>
      <c r="AU68" s="45">
        <f t="shared" si="2"/>
        <v>12152</v>
      </c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</row>
    <row r="69" spans="1:75" ht="15" customHeight="1" x14ac:dyDescent="0.35">
      <c r="A69" s="45"/>
      <c r="B69" s="44" t="s">
        <v>871</v>
      </c>
      <c r="C69" s="45" t="s">
        <v>872</v>
      </c>
      <c r="D69" s="45"/>
      <c r="E69" s="45"/>
      <c r="F69" s="48">
        <v>53</v>
      </c>
      <c r="G69" s="48"/>
      <c r="H69" s="44" t="s">
        <v>632</v>
      </c>
      <c r="I69" s="44">
        <v>10</v>
      </c>
      <c r="J69" s="48"/>
      <c r="K69" s="45"/>
      <c r="L69" s="45"/>
      <c r="M69" s="45"/>
      <c r="N69" s="45" t="s">
        <v>873</v>
      </c>
      <c r="O69" s="48" t="s">
        <v>510</v>
      </c>
      <c r="P69" s="44"/>
      <c r="Q69" s="45"/>
      <c r="R69" s="46">
        <v>35218</v>
      </c>
      <c r="S69" s="47" t="s">
        <v>874</v>
      </c>
      <c r="T69" s="47" t="s">
        <v>875</v>
      </c>
      <c r="U69" s="44" t="s">
        <v>876</v>
      </c>
      <c r="V69" s="45"/>
      <c r="W69" s="45" t="s">
        <v>873</v>
      </c>
      <c r="X69" s="47" t="s">
        <v>875</v>
      </c>
      <c r="Y69" s="45"/>
      <c r="Z69" s="45"/>
      <c r="AA69" s="47" t="s">
        <v>875</v>
      </c>
      <c r="AB69" s="45"/>
      <c r="AC69" s="45"/>
      <c r="AD69" s="45"/>
      <c r="AE69" s="45" t="s">
        <v>877</v>
      </c>
      <c r="AF69" s="45"/>
      <c r="AG69" s="44" t="s">
        <v>878</v>
      </c>
      <c r="AH69" s="44" t="s">
        <v>878</v>
      </c>
      <c r="AI69" s="45"/>
      <c r="AJ69" s="45"/>
      <c r="AK69" s="45" t="s">
        <v>879</v>
      </c>
      <c r="AL69" s="45"/>
      <c r="AM69" s="45" t="s">
        <v>879</v>
      </c>
      <c r="AN69" s="44">
        <f t="shared" si="3"/>
        <v>36</v>
      </c>
      <c r="AO69" s="45"/>
      <c r="AP69" s="45"/>
      <c r="AQ69" s="45"/>
      <c r="AR69" s="45"/>
      <c r="AS69" s="45"/>
      <c r="AT69" s="45"/>
      <c r="AU69" s="45">
        <f t="shared" si="2"/>
        <v>49244</v>
      </c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</row>
    <row r="70" spans="1:75" ht="15" customHeight="1" x14ac:dyDescent="0.35">
      <c r="A70" s="45"/>
      <c r="B70" s="44" t="s">
        <v>880</v>
      </c>
      <c r="C70" s="45" t="s">
        <v>881</v>
      </c>
      <c r="D70" s="45"/>
      <c r="E70" s="45"/>
      <c r="F70" s="48">
        <v>58</v>
      </c>
      <c r="G70" s="48"/>
      <c r="H70" s="44" t="s">
        <v>882</v>
      </c>
      <c r="I70" s="44">
        <v>17</v>
      </c>
      <c r="J70" s="48"/>
      <c r="K70" s="45"/>
      <c r="L70" s="45"/>
      <c r="M70" s="45"/>
      <c r="N70" s="45" t="s">
        <v>883</v>
      </c>
      <c r="O70" s="48" t="s">
        <v>769</v>
      </c>
      <c r="P70" s="44"/>
      <c r="Q70" s="45"/>
      <c r="R70" s="46">
        <v>29446</v>
      </c>
      <c r="S70" s="47" t="s">
        <v>884</v>
      </c>
      <c r="T70" s="47" t="s">
        <v>885</v>
      </c>
      <c r="U70" s="44" t="s">
        <v>886</v>
      </c>
      <c r="V70" s="45"/>
      <c r="W70" s="45" t="s">
        <v>883</v>
      </c>
      <c r="X70" s="47" t="s">
        <v>885</v>
      </c>
      <c r="Y70" s="45"/>
      <c r="Z70" s="45"/>
      <c r="AA70" s="47" t="s">
        <v>885</v>
      </c>
      <c r="AB70" s="45"/>
      <c r="AC70" s="45"/>
      <c r="AD70" s="45"/>
      <c r="AE70" s="45"/>
      <c r="AF70" s="45"/>
      <c r="AG70" s="44" t="s">
        <v>339</v>
      </c>
      <c r="AH70" s="44" t="s">
        <v>339</v>
      </c>
      <c r="AI70" s="45"/>
      <c r="AJ70" s="45"/>
      <c r="AK70" s="45" t="s">
        <v>316</v>
      </c>
      <c r="AL70" s="45"/>
      <c r="AM70" s="45" t="s">
        <v>316</v>
      </c>
      <c r="AN70" s="44">
        <f t="shared" si="3"/>
        <v>49</v>
      </c>
      <c r="AO70" s="45"/>
      <c r="AP70" s="45"/>
      <c r="AQ70" s="45"/>
      <c r="AR70" s="45"/>
      <c r="AS70" s="45"/>
      <c r="AT70" s="45"/>
      <c r="AU70" s="45">
        <f t="shared" si="2"/>
        <v>19164</v>
      </c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</row>
    <row r="71" spans="1:75" ht="15" customHeight="1" x14ac:dyDescent="0.35">
      <c r="A71" s="45"/>
      <c r="B71" s="44" t="s">
        <v>887</v>
      </c>
      <c r="C71" s="45" t="s">
        <v>888</v>
      </c>
      <c r="D71" s="45"/>
      <c r="E71" s="45"/>
      <c r="F71" s="48">
        <v>73</v>
      </c>
      <c r="G71" s="48"/>
      <c r="H71" s="44" t="s">
        <v>489</v>
      </c>
      <c r="I71" s="44">
        <v>26</v>
      </c>
      <c r="J71" s="48"/>
      <c r="K71" s="45"/>
      <c r="L71" s="45"/>
      <c r="M71" s="45"/>
      <c r="N71" s="45" t="s">
        <v>889</v>
      </c>
      <c r="O71" s="48" t="s">
        <v>784</v>
      </c>
      <c r="P71" s="44"/>
      <c r="Q71" s="45"/>
      <c r="R71" s="46">
        <v>36838</v>
      </c>
      <c r="S71" s="47" t="s">
        <v>890</v>
      </c>
      <c r="T71" s="47" t="s">
        <v>891</v>
      </c>
      <c r="U71" s="44" t="s">
        <v>892</v>
      </c>
      <c r="V71" s="45"/>
      <c r="W71" s="45" t="s">
        <v>889</v>
      </c>
      <c r="X71" s="47" t="s">
        <v>891</v>
      </c>
      <c r="Y71" s="45"/>
      <c r="Z71" s="45"/>
      <c r="AA71" s="47" t="s">
        <v>891</v>
      </c>
      <c r="AB71" s="45"/>
      <c r="AC71" s="45"/>
      <c r="AD71" s="45"/>
      <c r="AE71" s="45"/>
      <c r="AF71" s="45"/>
      <c r="AG71" s="44" t="s">
        <v>893</v>
      </c>
      <c r="AH71" s="44" t="s">
        <v>893</v>
      </c>
      <c r="AI71" s="45"/>
      <c r="AJ71" s="45"/>
      <c r="AK71" s="45" t="s">
        <v>332</v>
      </c>
      <c r="AL71" s="45"/>
      <c r="AM71" s="45" t="s">
        <v>332</v>
      </c>
      <c r="AN71" s="44">
        <f t="shared" si="3"/>
        <v>41</v>
      </c>
      <c r="AO71" s="45"/>
      <c r="AP71" s="45"/>
      <c r="AQ71" s="45"/>
      <c r="AR71" s="45"/>
      <c r="AS71" s="45"/>
      <c r="AT71" s="45"/>
      <c r="AU71" s="45">
        <f t="shared" ref="AU71:AU102" si="4">AU67+572</f>
        <v>109724</v>
      </c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</row>
    <row r="72" spans="1:75" ht="15" customHeight="1" x14ac:dyDescent="0.35">
      <c r="A72" s="45"/>
      <c r="B72" s="44" t="s">
        <v>894</v>
      </c>
      <c r="C72" s="45" t="s">
        <v>895</v>
      </c>
      <c r="D72" s="45"/>
      <c r="E72" s="45"/>
      <c r="F72" s="48">
        <v>52</v>
      </c>
      <c r="G72" s="48"/>
      <c r="H72" s="44" t="s">
        <v>878</v>
      </c>
      <c r="I72" s="44">
        <v>35</v>
      </c>
      <c r="J72" s="48"/>
      <c r="K72" s="45"/>
      <c r="L72" s="45"/>
      <c r="M72" s="45"/>
      <c r="N72" s="45" t="s">
        <v>896</v>
      </c>
      <c r="O72" s="48" t="s">
        <v>897</v>
      </c>
      <c r="P72" s="44"/>
      <c r="Q72" s="45"/>
      <c r="R72" s="46">
        <v>24182</v>
      </c>
      <c r="S72" s="47" t="s">
        <v>898</v>
      </c>
      <c r="T72" s="47" t="s">
        <v>899</v>
      </c>
      <c r="U72" s="44" t="s">
        <v>900</v>
      </c>
      <c r="V72" s="45"/>
      <c r="W72" s="45" t="s">
        <v>896</v>
      </c>
      <c r="X72" s="47" t="s">
        <v>899</v>
      </c>
      <c r="Y72" s="45"/>
      <c r="Z72" s="45"/>
      <c r="AA72" s="47" t="s">
        <v>899</v>
      </c>
      <c r="AB72" s="45"/>
      <c r="AC72" s="45"/>
      <c r="AD72" s="45"/>
      <c r="AE72" s="45"/>
      <c r="AF72" s="45"/>
      <c r="AG72" s="44" t="s">
        <v>901</v>
      </c>
      <c r="AH72" s="44" t="s">
        <v>901</v>
      </c>
      <c r="AI72" s="45"/>
      <c r="AJ72" s="45"/>
      <c r="AK72" s="45" t="s">
        <v>347</v>
      </c>
      <c r="AL72" s="45"/>
      <c r="AM72" s="45" t="s">
        <v>347</v>
      </c>
      <c r="AN72" s="44">
        <f t="shared" ref="AN72:AN102" si="5">AN67+2</f>
        <v>44</v>
      </c>
      <c r="AO72" s="45"/>
      <c r="AP72" s="45"/>
      <c r="AQ72" s="45"/>
      <c r="AR72" s="45"/>
      <c r="AS72" s="45"/>
      <c r="AT72" s="45"/>
      <c r="AU72" s="45">
        <f t="shared" si="4"/>
        <v>12724</v>
      </c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</row>
    <row r="73" spans="1:75" ht="15" customHeight="1" x14ac:dyDescent="0.35">
      <c r="A73" s="45"/>
      <c r="B73" s="44" t="s">
        <v>902</v>
      </c>
      <c r="C73" s="45" t="s">
        <v>903</v>
      </c>
      <c r="D73" s="45"/>
      <c r="E73" s="45"/>
      <c r="F73" s="48">
        <v>68</v>
      </c>
      <c r="G73" s="48"/>
      <c r="H73" s="44" t="s">
        <v>904</v>
      </c>
      <c r="I73" s="44">
        <v>88</v>
      </c>
      <c r="J73" s="48"/>
      <c r="K73" s="45"/>
      <c r="L73" s="45"/>
      <c r="M73" s="45"/>
      <c r="N73" s="45" t="s">
        <v>905</v>
      </c>
      <c r="O73" s="48" t="s">
        <v>906</v>
      </c>
      <c r="P73" s="44"/>
      <c r="Q73" s="45"/>
      <c r="R73" s="46">
        <v>28513</v>
      </c>
      <c r="S73" s="47" t="s">
        <v>907</v>
      </c>
      <c r="T73" s="47" t="s">
        <v>908</v>
      </c>
      <c r="U73" s="44" t="s">
        <v>909</v>
      </c>
      <c r="V73" s="45"/>
      <c r="W73" s="45" t="s">
        <v>905</v>
      </c>
      <c r="X73" s="47" t="s">
        <v>908</v>
      </c>
      <c r="Y73" s="45"/>
      <c r="Z73" s="45"/>
      <c r="AA73" s="47" t="s">
        <v>908</v>
      </c>
      <c r="AB73" s="45"/>
      <c r="AC73" s="45"/>
      <c r="AD73" s="45"/>
      <c r="AE73" s="45"/>
      <c r="AF73" s="45"/>
      <c r="AG73" s="44" t="s">
        <v>910</v>
      </c>
      <c r="AH73" s="44" t="s">
        <v>910</v>
      </c>
      <c r="AI73" s="45"/>
      <c r="AJ73" s="45"/>
      <c r="AK73" s="45" t="s">
        <v>284</v>
      </c>
      <c r="AL73" s="45"/>
      <c r="AM73" s="45" t="s">
        <v>284</v>
      </c>
      <c r="AN73" s="44">
        <f t="shared" si="5"/>
        <v>33</v>
      </c>
      <c r="AO73" s="45"/>
      <c r="AP73" s="45"/>
      <c r="AQ73" s="45"/>
      <c r="AR73" s="45"/>
      <c r="AS73" s="45"/>
      <c r="AT73" s="45"/>
      <c r="AU73" s="45">
        <f t="shared" si="4"/>
        <v>49816</v>
      </c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</row>
    <row r="74" spans="1:75" ht="15" customHeight="1" x14ac:dyDescent="0.35">
      <c r="A74" s="45"/>
      <c r="B74" s="44" t="s">
        <v>344</v>
      </c>
      <c r="C74" s="45" t="s">
        <v>911</v>
      </c>
      <c r="D74" s="45"/>
      <c r="E74" s="45"/>
      <c r="F74" s="48">
        <v>55</v>
      </c>
      <c r="G74" s="48"/>
      <c r="H74" s="44" t="s">
        <v>912</v>
      </c>
      <c r="I74" s="44">
        <v>9</v>
      </c>
      <c r="J74" s="48"/>
      <c r="K74" s="45"/>
      <c r="L74" s="45"/>
      <c r="M74" s="45"/>
      <c r="N74" s="45" t="s">
        <v>913</v>
      </c>
      <c r="O74" s="48" t="s">
        <v>914</v>
      </c>
      <c r="P74" s="44"/>
      <c r="Q74" s="45"/>
      <c r="R74" s="46">
        <v>32175</v>
      </c>
      <c r="S74" s="47" t="s">
        <v>915</v>
      </c>
      <c r="T74" s="47" t="s">
        <v>916</v>
      </c>
      <c r="U74" s="44" t="s">
        <v>917</v>
      </c>
      <c r="V74" s="45"/>
      <c r="W74" s="45" t="s">
        <v>913</v>
      </c>
      <c r="X74" s="47" t="s">
        <v>916</v>
      </c>
      <c r="Y74" s="45"/>
      <c r="Z74" s="45"/>
      <c r="AA74" s="47" t="s">
        <v>916</v>
      </c>
      <c r="AB74" s="45"/>
      <c r="AC74" s="45"/>
      <c r="AD74" s="45"/>
      <c r="AE74" s="45"/>
      <c r="AF74" s="45"/>
      <c r="AG74" s="44" t="s">
        <v>489</v>
      </c>
      <c r="AH74" s="44" t="s">
        <v>489</v>
      </c>
      <c r="AI74" s="45"/>
      <c r="AJ74" s="45"/>
      <c r="AK74" s="45" t="s">
        <v>313</v>
      </c>
      <c r="AL74" s="45"/>
      <c r="AM74" s="45" t="s">
        <v>313</v>
      </c>
      <c r="AN74" s="44">
        <f t="shared" si="5"/>
        <v>38</v>
      </c>
      <c r="AO74" s="45"/>
      <c r="AP74" s="45"/>
      <c r="AQ74" s="45"/>
      <c r="AR74" s="45"/>
      <c r="AS74" s="45"/>
      <c r="AT74" s="45"/>
      <c r="AU74" s="45">
        <f t="shared" si="4"/>
        <v>19736</v>
      </c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</row>
    <row r="75" spans="1:75" ht="15" customHeight="1" x14ac:dyDescent="0.35">
      <c r="A75" s="45"/>
      <c r="B75" s="44" t="s">
        <v>918</v>
      </c>
      <c r="C75" s="45" t="s">
        <v>919</v>
      </c>
      <c r="D75" s="45"/>
      <c r="E75" s="45"/>
      <c r="F75" s="48">
        <v>60</v>
      </c>
      <c r="G75" s="48"/>
      <c r="H75" s="44" t="s">
        <v>920</v>
      </c>
      <c r="I75" s="44">
        <v>27</v>
      </c>
      <c r="J75" s="48"/>
      <c r="K75" s="45"/>
      <c r="L75" s="45"/>
      <c r="M75" s="45"/>
      <c r="N75" s="45" t="s">
        <v>921</v>
      </c>
      <c r="O75" s="48" t="s">
        <v>261</v>
      </c>
      <c r="P75" s="44"/>
      <c r="Q75" s="45"/>
      <c r="R75" s="46">
        <v>32097</v>
      </c>
      <c r="S75" s="47" t="s">
        <v>922</v>
      </c>
      <c r="T75" s="47" t="s">
        <v>923</v>
      </c>
      <c r="U75" s="44" t="s">
        <v>924</v>
      </c>
      <c r="V75" s="45"/>
      <c r="W75" s="45" t="s">
        <v>921</v>
      </c>
      <c r="X75" s="47" t="s">
        <v>923</v>
      </c>
      <c r="Y75" s="45"/>
      <c r="Z75" s="45"/>
      <c r="AA75" s="47" t="s">
        <v>923</v>
      </c>
      <c r="AB75" s="45"/>
      <c r="AC75" s="45"/>
      <c r="AD75" s="45"/>
      <c r="AE75" s="45"/>
      <c r="AF75" s="45"/>
      <c r="AG75" s="44" t="s">
        <v>600</v>
      </c>
      <c r="AH75" s="44" t="s">
        <v>600</v>
      </c>
      <c r="AI75" s="45"/>
      <c r="AJ75" s="45"/>
      <c r="AK75" s="45" t="s">
        <v>330</v>
      </c>
      <c r="AL75" s="45"/>
      <c r="AM75" s="45" t="s">
        <v>330</v>
      </c>
      <c r="AN75" s="44">
        <f t="shared" si="5"/>
        <v>51</v>
      </c>
      <c r="AO75" s="45"/>
      <c r="AP75" s="45"/>
      <c r="AQ75" s="45"/>
      <c r="AR75" s="45"/>
      <c r="AS75" s="45"/>
      <c r="AT75" s="45"/>
      <c r="AU75" s="45">
        <f t="shared" si="4"/>
        <v>110296</v>
      </c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</row>
    <row r="76" spans="1:75" ht="15" customHeight="1" x14ac:dyDescent="0.35">
      <c r="A76" s="45"/>
      <c r="B76" s="44" t="s">
        <v>925</v>
      </c>
      <c r="C76" s="45" t="s">
        <v>926</v>
      </c>
      <c r="D76" s="45"/>
      <c r="E76" s="45"/>
      <c r="F76" s="48">
        <v>75</v>
      </c>
      <c r="G76" s="48"/>
      <c r="H76" s="44" t="s">
        <v>927</v>
      </c>
      <c r="I76" s="44">
        <v>55</v>
      </c>
      <c r="J76" s="48"/>
      <c r="K76" s="45"/>
      <c r="L76" s="45"/>
      <c r="M76" s="45"/>
      <c r="N76" s="45" t="s">
        <v>928</v>
      </c>
      <c r="O76" s="48" t="s">
        <v>878</v>
      </c>
      <c r="P76" s="44"/>
      <c r="Q76" s="45"/>
      <c r="R76" s="46">
        <v>34947</v>
      </c>
      <c r="S76" s="47" t="s">
        <v>929</v>
      </c>
      <c r="T76" s="47" t="s">
        <v>551</v>
      </c>
      <c r="U76" s="44" t="s">
        <v>930</v>
      </c>
      <c r="V76" s="45"/>
      <c r="W76" s="45" t="s">
        <v>928</v>
      </c>
      <c r="X76" s="47" t="s">
        <v>551</v>
      </c>
      <c r="Y76" s="45"/>
      <c r="Z76" s="45"/>
      <c r="AA76" s="47" t="s">
        <v>551</v>
      </c>
      <c r="AB76" s="45"/>
      <c r="AC76" s="45"/>
      <c r="AD76" s="45"/>
      <c r="AE76" s="45"/>
      <c r="AF76" s="45"/>
      <c r="AG76" s="44" t="s">
        <v>413</v>
      </c>
      <c r="AH76" s="44" t="s">
        <v>413</v>
      </c>
      <c r="AI76" s="45"/>
      <c r="AJ76" s="45"/>
      <c r="AK76" s="45" t="s">
        <v>321</v>
      </c>
      <c r="AL76" s="45"/>
      <c r="AM76" s="45" t="s">
        <v>321</v>
      </c>
      <c r="AN76" s="44">
        <f t="shared" si="5"/>
        <v>43</v>
      </c>
      <c r="AO76" s="45"/>
      <c r="AP76" s="45"/>
      <c r="AQ76" s="45"/>
      <c r="AR76" s="45"/>
      <c r="AS76" s="45"/>
      <c r="AT76" s="45"/>
      <c r="AU76" s="45">
        <f t="shared" si="4"/>
        <v>13296</v>
      </c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</row>
    <row r="77" spans="1:75" ht="15" customHeight="1" x14ac:dyDescent="0.35">
      <c r="A77" s="45"/>
      <c r="B77" s="44" t="s">
        <v>931</v>
      </c>
      <c r="C77" s="45" t="s">
        <v>932</v>
      </c>
      <c r="D77" s="45"/>
      <c r="E77" s="45"/>
      <c r="F77" s="48">
        <v>54</v>
      </c>
      <c r="G77" s="48"/>
      <c r="H77" s="44" t="s">
        <v>339</v>
      </c>
      <c r="I77" s="44">
        <v>24</v>
      </c>
      <c r="J77" s="48"/>
      <c r="K77" s="45"/>
      <c r="L77" s="45"/>
      <c r="M77" s="45"/>
      <c r="N77" s="45" t="s">
        <v>933</v>
      </c>
      <c r="O77" s="48" t="s">
        <v>284</v>
      </c>
      <c r="P77" s="44"/>
      <c r="Q77" s="45"/>
      <c r="R77" s="46">
        <v>25867</v>
      </c>
      <c r="S77" s="47">
        <v>16860</v>
      </c>
      <c r="T77" s="47" t="s">
        <v>558</v>
      </c>
      <c r="U77" s="44" t="s">
        <v>474</v>
      </c>
      <c r="V77" s="45"/>
      <c r="W77" s="45" t="s">
        <v>933</v>
      </c>
      <c r="X77" s="47" t="s">
        <v>558</v>
      </c>
      <c r="Y77" s="45"/>
      <c r="Z77" s="45"/>
      <c r="AA77" s="47" t="s">
        <v>558</v>
      </c>
      <c r="AB77" s="45"/>
      <c r="AC77" s="45"/>
      <c r="AD77" s="45"/>
      <c r="AE77" s="45"/>
      <c r="AF77" s="45"/>
      <c r="AG77" s="44" t="s">
        <v>531</v>
      </c>
      <c r="AH77" s="44" t="s">
        <v>531</v>
      </c>
      <c r="AI77" s="45"/>
      <c r="AJ77" s="45"/>
      <c r="AK77" s="45" t="s">
        <v>337</v>
      </c>
      <c r="AL77" s="45"/>
      <c r="AM77" s="45" t="s">
        <v>337</v>
      </c>
      <c r="AN77" s="44">
        <f t="shared" si="5"/>
        <v>46</v>
      </c>
      <c r="AO77" s="45"/>
      <c r="AP77" s="45"/>
      <c r="AQ77" s="45"/>
      <c r="AR77" s="45"/>
      <c r="AS77" s="45"/>
      <c r="AT77" s="45"/>
      <c r="AU77" s="45">
        <f t="shared" si="4"/>
        <v>50388</v>
      </c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</row>
    <row r="78" spans="1:75" ht="15" customHeight="1" x14ac:dyDescent="0.35">
      <c r="A78" s="45"/>
      <c r="B78" s="44" t="s">
        <v>934</v>
      </c>
      <c r="C78" s="45" t="s">
        <v>935</v>
      </c>
      <c r="D78" s="45"/>
      <c r="E78" s="45"/>
      <c r="F78" s="48">
        <v>70</v>
      </c>
      <c r="G78" s="48"/>
      <c r="H78" s="44" t="s">
        <v>936</v>
      </c>
      <c r="I78" s="44">
        <v>34</v>
      </c>
      <c r="J78" s="48"/>
      <c r="K78" s="45"/>
      <c r="L78" s="45"/>
      <c r="M78" s="45"/>
      <c r="N78" s="45" t="s">
        <v>937</v>
      </c>
      <c r="O78" s="48" t="s">
        <v>500</v>
      </c>
      <c r="P78" s="44"/>
      <c r="Q78" s="45"/>
      <c r="R78" s="46">
        <v>32050</v>
      </c>
      <c r="S78" s="47" t="s">
        <v>938</v>
      </c>
      <c r="T78" s="47" t="s">
        <v>839</v>
      </c>
      <c r="U78" s="44" t="s">
        <v>939</v>
      </c>
      <c r="V78" s="45"/>
      <c r="W78" s="45" t="s">
        <v>937</v>
      </c>
      <c r="X78" s="47" t="s">
        <v>839</v>
      </c>
      <c r="Y78" s="45"/>
      <c r="Z78" s="45"/>
      <c r="AA78" s="47" t="s">
        <v>839</v>
      </c>
      <c r="AB78" s="45"/>
      <c r="AC78" s="45"/>
      <c r="AD78" s="45"/>
      <c r="AE78" s="45"/>
      <c r="AF78" s="45"/>
      <c r="AG78" s="44" t="s">
        <v>408</v>
      </c>
      <c r="AH78" s="44" t="s">
        <v>408</v>
      </c>
      <c r="AI78" s="45"/>
      <c r="AJ78" s="45"/>
      <c r="AK78" s="45" t="s">
        <v>891</v>
      </c>
      <c r="AL78" s="45"/>
      <c r="AM78" s="45" t="s">
        <v>891</v>
      </c>
      <c r="AN78" s="44">
        <f t="shared" si="5"/>
        <v>35</v>
      </c>
      <c r="AO78" s="45"/>
      <c r="AP78" s="45"/>
      <c r="AQ78" s="45"/>
      <c r="AR78" s="45"/>
      <c r="AS78" s="45"/>
      <c r="AT78" s="45"/>
      <c r="AU78" s="45">
        <f t="shared" si="4"/>
        <v>20308</v>
      </c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</row>
    <row r="79" spans="1:75" ht="15" customHeight="1" x14ac:dyDescent="0.35">
      <c r="A79" s="45"/>
      <c r="B79" s="44" t="s">
        <v>940</v>
      </c>
      <c r="C79" s="45" t="s">
        <v>941</v>
      </c>
      <c r="D79" s="45"/>
      <c r="E79" s="45"/>
      <c r="F79" s="48">
        <v>57</v>
      </c>
      <c r="G79" s="48"/>
      <c r="H79" s="44" t="s">
        <v>458</v>
      </c>
      <c r="I79" s="44">
        <v>96</v>
      </c>
      <c r="J79" s="48"/>
      <c r="K79" s="45"/>
      <c r="L79" s="45"/>
      <c r="M79" s="45"/>
      <c r="N79" s="45" t="s">
        <v>942</v>
      </c>
      <c r="O79" s="48" t="s">
        <v>634</v>
      </c>
      <c r="P79" s="44"/>
      <c r="Q79" s="45"/>
      <c r="R79" s="46">
        <v>31145</v>
      </c>
      <c r="S79" s="47">
        <v>44143</v>
      </c>
      <c r="T79" s="47" t="s">
        <v>386</v>
      </c>
      <c r="U79" s="44" t="s">
        <v>943</v>
      </c>
      <c r="V79" s="45"/>
      <c r="W79" s="45" t="s">
        <v>942</v>
      </c>
      <c r="X79" s="47" t="s">
        <v>386</v>
      </c>
      <c r="Y79" s="45"/>
      <c r="Z79" s="45"/>
      <c r="AA79" s="47" t="s">
        <v>386</v>
      </c>
      <c r="AB79" s="45"/>
      <c r="AC79" s="45"/>
      <c r="AD79" s="45"/>
      <c r="AE79" s="45"/>
      <c r="AF79" s="45"/>
      <c r="AG79" s="44" t="s">
        <v>420</v>
      </c>
      <c r="AH79" s="44" t="s">
        <v>420</v>
      </c>
      <c r="AI79" s="45"/>
      <c r="AJ79" s="45"/>
      <c r="AK79" s="45" t="s">
        <v>774</v>
      </c>
      <c r="AL79" s="45"/>
      <c r="AM79" s="45" t="s">
        <v>774</v>
      </c>
      <c r="AN79" s="44">
        <f t="shared" si="5"/>
        <v>40</v>
      </c>
      <c r="AO79" s="45"/>
      <c r="AP79" s="45"/>
      <c r="AQ79" s="45"/>
      <c r="AR79" s="45"/>
      <c r="AS79" s="45"/>
      <c r="AT79" s="45"/>
      <c r="AU79" s="45">
        <f t="shared" si="4"/>
        <v>110868</v>
      </c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</row>
    <row r="80" spans="1:75" ht="15" customHeight="1" x14ac:dyDescent="0.35">
      <c r="A80" s="45"/>
      <c r="B80" s="44" t="s">
        <v>944</v>
      </c>
      <c r="C80" s="45" t="s">
        <v>945</v>
      </c>
      <c r="D80" s="45"/>
      <c r="E80" s="45"/>
      <c r="F80" s="48">
        <v>62</v>
      </c>
      <c r="G80" s="48"/>
      <c r="H80" s="44" t="s">
        <v>516</v>
      </c>
      <c r="I80" s="44">
        <v>16</v>
      </c>
      <c r="J80" s="48"/>
      <c r="K80" s="45"/>
      <c r="L80" s="45"/>
      <c r="M80" s="45"/>
      <c r="N80" s="45" t="s">
        <v>946</v>
      </c>
      <c r="O80" s="48" t="s">
        <v>644</v>
      </c>
      <c r="P80" s="44"/>
      <c r="Q80" s="45"/>
      <c r="R80" s="46">
        <v>28530</v>
      </c>
      <c r="S80" s="47">
        <v>53783</v>
      </c>
      <c r="T80" s="47" t="s">
        <v>356</v>
      </c>
      <c r="U80" s="44" t="s">
        <v>947</v>
      </c>
      <c r="V80" s="45"/>
      <c r="W80" s="45" t="s">
        <v>946</v>
      </c>
      <c r="X80" s="47" t="s">
        <v>356</v>
      </c>
      <c r="Y80" s="45"/>
      <c r="Z80" s="45"/>
      <c r="AA80" s="47" t="s">
        <v>356</v>
      </c>
      <c r="AB80" s="45"/>
      <c r="AC80" s="45"/>
      <c r="AD80" s="45"/>
      <c r="AE80" s="45"/>
      <c r="AF80" s="45"/>
      <c r="AG80" s="44" t="s">
        <v>546</v>
      </c>
      <c r="AH80" s="44" t="s">
        <v>546</v>
      </c>
      <c r="AI80" s="45"/>
      <c r="AJ80" s="45"/>
      <c r="AK80" s="45" t="s">
        <v>654</v>
      </c>
      <c r="AL80" s="45"/>
      <c r="AM80" s="45" t="s">
        <v>654</v>
      </c>
      <c r="AN80" s="44">
        <f t="shared" si="5"/>
        <v>53</v>
      </c>
      <c r="AO80" s="45"/>
      <c r="AP80" s="45"/>
      <c r="AQ80" s="45"/>
      <c r="AR80" s="45"/>
      <c r="AS80" s="45"/>
      <c r="AT80" s="45"/>
      <c r="AU80" s="45">
        <f t="shared" si="4"/>
        <v>13868</v>
      </c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</row>
    <row r="81" spans="1:75" ht="15" customHeight="1" x14ac:dyDescent="0.35">
      <c r="A81" s="45"/>
      <c r="B81" s="44" t="s">
        <v>948</v>
      </c>
      <c r="C81" s="45" t="s">
        <v>949</v>
      </c>
      <c r="D81" s="45"/>
      <c r="E81" s="45"/>
      <c r="F81" s="48">
        <v>77</v>
      </c>
      <c r="G81" s="48"/>
      <c r="H81" s="44" t="s">
        <v>434</v>
      </c>
      <c r="I81" s="44">
        <v>43</v>
      </c>
      <c r="J81" s="48"/>
      <c r="K81" s="45"/>
      <c r="L81" s="45"/>
      <c r="M81" s="45"/>
      <c r="N81" s="45" t="s">
        <v>950</v>
      </c>
      <c r="O81" s="48" t="s">
        <v>319</v>
      </c>
      <c r="P81" s="44"/>
      <c r="Q81" s="45"/>
      <c r="R81" s="46">
        <v>37317</v>
      </c>
      <c r="S81" s="47">
        <v>59590</v>
      </c>
      <c r="T81" s="47" t="s">
        <v>429</v>
      </c>
      <c r="U81" s="44" t="s">
        <v>494</v>
      </c>
      <c r="V81" s="45"/>
      <c r="W81" s="45" t="s">
        <v>950</v>
      </c>
      <c r="X81" s="47" t="s">
        <v>429</v>
      </c>
      <c r="Y81" s="45"/>
      <c r="Z81" s="45"/>
      <c r="AA81" s="47" t="s">
        <v>429</v>
      </c>
      <c r="AB81" s="45"/>
      <c r="AC81" s="45"/>
      <c r="AD81" s="45"/>
      <c r="AE81" s="45"/>
      <c r="AF81" s="45"/>
      <c r="AG81" s="44" t="s">
        <v>821</v>
      </c>
      <c r="AH81" s="44" t="s">
        <v>821</v>
      </c>
      <c r="AI81" s="45"/>
      <c r="AJ81" s="45"/>
      <c r="AK81" s="45" t="s">
        <v>951</v>
      </c>
      <c r="AL81" s="45"/>
      <c r="AM81" s="45" t="s">
        <v>951</v>
      </c>
      <c r="AN81" s="44">
        <f t="shared" si="5"/>
        <v>45</v>
      </c>
      <c r="AO81" s="45"/>
      <c r="AP81" s="45"/>
      <c r="AQ81" s="45"/>
      <c r="AR81" s="45"/>
      <c r="AS81" s="45"/>
      <c r="AT81" s="45"/>
      <c r="AU81" s="45">
        <f t="shared" si="4"/>
        <v>50960</v>
      </c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</row>
    <row r="82" spans="1:75" ht="15" customHeight="1" x14ac:dyDescent="0.35">
      <c r="A82" s="45"/>
      <c r="B82" s="44" t="s">
        <v>952</v>
      </c>
      <c r="C82" s="45" t="s">
        <v>953</v>
      </c>
      <c r="D82" s="45"/>
      <c r="E82" s="45"/>
      <c r="F82" s="48">
        <v>56</v>
      </c>
      <c r="G82" s="48"/>
      <c r="H82" s="44" t="s">
        <v>954</v>
      </c>
      <c r="I82" s="44">
        <v>57</v>
      </c>
      <c r="J82" s="48"/>
      <c r="K82" s="45"/>
      <c r="L82" s="45"/>
      <c r="M82" s="45"/>
      <c r="N82" s="45" t="s">
        <v>955</v>
      </c>
      <c r="O82" s="48" t="s">
        <v>956</v>
      </c>
      <c r="P82" s="44"/>
      <c r="Q82" s="45"/>
      <c r="R82" s="46">
        <v>35961</v>
      </c>
      <c r="S82" s="47" t="s">
        <v>957</v>
      </c>
      <c r="T82" s="47" t="s">
        <v>494</v>
      </c>
      <c r="U82" s="44" t="s">
        <v>292</v>
      </c>
      <c r="V82" s="45"/>
      <c r="W82" s="45" t="s">
        <v>955</v>
      </c>
      <c r="X82" s="47" t="s">
        <v>494</v>
      </c>
      <c r="Y82" s="45"/>
      <c r="Z82" s="45"/>
      <c r="AA82" s="47" t="s">
        <v>494</v>
      </c>
      <c r="AB82" s="45"/>
      <c r="AC82" s="45"/>
      <c r="AD82" s="45"/>
      <c r="AE82" s="45"/>
      <c r="AF82" s="45"/>
      <c r="AG82" s="44" t="s">
        <v>958</v>
      </c>
      <c r="AH82" s="44" t="s">
        <v>958</v>
      </c>
      <c r="AI82" s="45"/>
      <c r="AJ82" s="45"/>
      <c r="AK82" s="45" t="s">
        <v>959</v>
      </c>
      <c r="AL82" s="45"/>
      <c r="AM82" s="45" t="s">
        <v>959</v>
      </c>
      <c r="AN82" s="44">
        <f t="shared" si="5"/>
        <v>48</v>
      </c>
      <c r="AO82" s="45"/>
      <c r="AP82" s="45"/>
      <c r="AQ82" s="45"/>
      <c r="AR82" s="45"/>
      <c r="AS82" s="45"/>
      <c r="AT82" s="45"/>
      <c r="AU82" s="45">
        <f t="shared" si="4"/>
        <v>20880</v>
      </c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</row>
    <row r="83" spans="1:75" ht="15" customHeight="1" x14ac:dyDescent="0.35">
      <c r="A83" s="45"/>
      <c r="B83" s="44" t="s">
        <v>960</v>
      </c>
      <c r="C83" s="45" t="s">
        <v>961</v>
      </c>
      <c r="D83" s="45"/>
      <c r="E83" s="45"/>
      <c r="F83" s="48">
        <v>72</v>
      </c>
      <c r="G83" s="48"/>
      <c r="H83" s="44" t="s">
        <v>962</v>
      </c>
      <c r="I83" s="44">
        <v>73</v>
      </c>
      <c r="J83" s="48"/>
      <c r="K83" s="45"/>
      <c r="L83" s="45"/>
      <c r="M83" s="45"/>
      <c r="N83" s="45" t="s">
        <v>963</v>
      </c>
      <c r="O83" s="48" t="s">
        <v>360</v>
      </c>
      <c r="P83" s="44"/>
      <c r="Q83" s="45"/>
      <c r="R83" s="46">
        <v>26584</v>
      </c>
      <c r="S83" s="47" t="s">
        <v>964</v>
      </c>
      <c r="T83" s="47" t="s">
        <v>474</v>
      </c>
      <c r="U83" s="44" t="s">
        <v>965</v>
      </c>
      <c r="V83" s="45"/>
      <c r="W83" s="45" t="s">
        <v>963</v>
      </c>
      <c r="X83" s="47" t="s">
        <v>474</v>
      </c>
      <c r="Y83" s="45"/>
      <c r="Z83" s="45"/>
      <c r="AA83" s="47" t="s">
        <v>474</v>
      </c>
      <c r="AB83" s="45"/>
      <c r="AC83" s="45"/>
      <c r="AD83" s="45"/>
      <c r="AE83" s="45"/>
      <c r="AF83" s="45"/>
      <c r="AG83" s="44" t="s">
        <v>847</v>
      </c>
      <c r="AH83" s="44" t="s">
        <v>847</v>
      </c>
      <c r="AI83" s="45"/>
      <c r="AJ83" s="45"/>
      <c r="AK83" s="45" t="s">
        <v>697</v>
      </c>
      <c r="AL83" s="45"/>
      <c r="AM83" s="45" t="s">
        <v>697</v>
      </c>
      <c r="AN83" s="44">
        <f t="shared" si="5"/>
        <v>37</v>
      </c>
      <c r="AO83" s="45"/>
      <c r="AP83" s="45"/>
      <c r="AQ83" s="45"/>
      <c r="AR83" s="45"/>
      <c r="AS83" s="45"/>
      <c r="AT83" s="45"/>
      <c r="AU83" s="45">
        <f t="shared" si="4"/>
        <v>111440</v>
      </c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</row>
    <row r="84" spans="1:75" ht="15" customHeight="1" x14ac:dyDescent="0.35">
      <c r="A84" s="45"/>
      <c r="B84" s="44" t="s">
        <v>966</v>
      </c>
      <c r="C84" s="45" t="s">
        <v>967</v>
      </c>
      <c r="D84" s="45"/>
      <c r="E84" s="45"/>
      <c r="F84" s="48">
        <v>59</v>
      </c>
      <c r="G84" s="48"/>
      <c r="H84" s="44" t="s">
        <v>968</v>
      </c>
      <c r="I84" s="44">
        <v>54</v>
      </c>
      <c r="J84" s="48"/>
      <c r="K84" s="45"/>
      <c r="L84" s="45"/>
      <c r="M84" s="45"/>
      <c r="N84" s="45" t="s">
        <v>518</v>
      </c>
      <c r="O84" s="48" t="s">
        <v>372</v>
      </c>
      <c r="P84" s="44"/>
      <c r="Q84" s="45"/>
      <c r="R84" s="46">
        <v>29703</v>
      </c>
      <c r="S84" s="47">
        <v>41510</v>
      </c>
      <c r="T84" s="47" t="s">
        <v>969</v>
      </c>
      <c r="U84" s="44" t="s">
        <v>970</v>
      </c>
      <c r="V84" s="45"/>
      <c r="W84" s="45" t="s">
        <v>518</v>
      </c>
      <c r="X84" s="47" t="s">
        <v>969</v>
      </c>
      <c r="Y84" s="45"/>
      <c r="Z84" s="45"/>
      <c r="AA84" s="47" t="s">
        <v>969</v>
      </c>
      <c r="AB84" s="45"/>
      <c r="AC84" s="45"/>
      <c r="AD84" s="45"/>
      <c r="AE84" s="45"/>
      <c r="AF84" s="45"/>
      <c r="AG84" s="44" t="s">
        <v>971</v>
      </c>
      <c r="AH84" s="44" t="s">
        <v>971</v>
      </c>
      <c r="AI84" s="45"/>
      <c r="AJ84" s="45"/>
      <c r="AK84" s="45" t="s">
        <v>392</v>
      </c>
      <c r="AL84" s="45"/>
      <c r="AM84" s="45" t="s">
        <v>392</v>
      </c>
      <c r="AN84" s="44">
        <f t="shared" si="5"/>
        <v>42</v>
      </c>
      <c r="AO84" s="45"/>
      <c r="AP84" s="45"/>
      <c r="AQ84" s="45"/>
      <c r="AR84" s="45"/>
      <c r="AS84" s="45"/>
      <c r="AT84" s="45"/>
      <c r="AU84" s="45">
        <f t="shared" si="4"/>
        <v>14440</v>
      </c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</row>
    <row r="85" spans="1:75" ht="15" customHeight="1" x14ac:dyDescent="0.35">
      <c r="A85" s="45"/>
      <c r="B85" s="44" t="s">
        <v>972</v>
      </c>
      <c r="C85" s="45" t="s">
        <v>973</v>
      </c>
      <c r="D85" s="45"/>
      <c r="E85" s="45"/>
      <c r="F85" s="48">
        <v>64</v>
      </c>
      <c r="G85" s="48"/>
      <c r="H85" s="44" t="s">
        <v>353</v>
      </c>
      <c r="I85" s="44">
        <v>2</v>
      </c>
      <c r="J85" s="48"/>
      <c r="K85" s="45"/>
      <c r="L85" s="45"/>
      <c r="M85" s="45"/>
      <c r="N85" s="45" t="s">
        <v>974</v>
      </c>
      <c r="O85" s="48" t="s">
        <v>593</v>
      </c>
      <c r="P85" s="44"/>
      <c r="Q85" s="45"/>
      <c r="R85" s="46">
        <v>24347</v>
      </c>
      <c r="S85" s="47">
        <v>6220</v>
      </c>
      <c r="T85" s="47" t="s">
        <v>831</v>
      </c>
      <c r="U85" s="44" t="s">
        <v>975</v>
      </c>
      <c r="V85" s="45"/>
      <c r="W85" s="45" t="s">
        <v>974</v>
      </c>
      <c r="X85" s="47" t="s">
        <v>831</v>
      </c>
      <c r="Y85" s="45"/>
      <c r="Z85" s="45"/>
      <c r="AA85" s="47" t="s">
        <v>831</v>
      </c>
      <c r="AB85" s="45"/>
      <c r="AC85" s="45"/>
      <c r="AD85" s="45"/>
      <c r="AE85" s="45"/>
      <c r="AF85" s="45"/>
      <c r="AG85" s="44" t="s">
        <v>372</v>
      </c>
      <c r="AH85" s="44" t="s">
        <v>372</v>
      </c>
      <c r="AI85" s="45"/>
      <c r="AJ85" s="45"/>
      <c r="AK85" s="45" t="s">
        <v>976</v>
      </c>
      <c r="AL85" s="45"/>
      <c r="AM85" s="45" t="s">
        <v>976</v>
      </c>
      <c r="AN85" s="44">
        <f t="shared" si="5"/>
        <v>55</v>
      </c>
      <c r="AO85" s="45"/>
      <c r="AP85" s="45"/>
      <c r="AQ85" s="45"/>
      <c r="AR85" s="45"/>
      <c r="AS85" s="45"/>
      <c r="AT85" s="45"/>
      <c r="AU85" s="45">
        <f t="shared" si="4"/>
        <v>51532</v>
      </c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</row>
    <row r="86" spans="1:75" ht="15" customHeight="1" x14ac:dyDescent="0.35">
      <c r="A86" s="45"/>
      <c r="B86" s="45"/>
      <c r="C86" s="45" t="s">
        <v>977</v>
      </c>
      <c r="D86" s="45"/>
      <c r="E86" s="45"/>
      <c r="F86" s="48">
        <v>79</v>
      </c>
      <c r="G86" s="48"/>
      <c r="H86" s="44" t="s">
        <v>978</v>
      </c>
      <c r="I86" s="44">
        <v>7</v>
      </c>
      <c r="J86" s="48"/>
      <c r="K86" s="45"/>
      <c r="L86" s="45"/>
      <c r="M86" s="45"/>
      <c r="N86" s="45" t="s">
        <v>979</v>
      </c>
      <c r="O86" s="48" t="s">
        <v>601</v>
      </c>
      <c r="P86" s="44"/>
      <c r="Q86" s="45"/>
      <c r="R86" s="46">
        <v>21580</v>
      </c>
      <c r="S86" s="47" t="s">
        <v>980</v>
      </c>
      <c r="T86" s="47" t="s">
        <v>981</v>
      </c>
      <c r="U86" s="44">
        <v>83</v>
      </c>
      <c r="V86" s="45"/>
      <c r="W86" s="45" t="s">
        <v>979</v>
      </c>
      <c r="X86" s="47" t="s">
        <v>981</v>
      </c>
      <c r="Y86" s="45"/>
      <c r="Z86" s="45"/>
      <c r="AA86" s="47" t="s">
        <v>981</v>
      </c>
      <c r="AB86" s="45"/>
      <c r="AC86" s="45"/>
      <c r="AD86" s="45"/>
      <c r="AE86" s="45"/>
      <c r="AF86" s="45"/>
      <c r="AG86" s="44" t="s">
        <v>360</v>
      </c>
      <c r="AH86" s="44" t="s">
        <v>360</v>
      </c>
      <c r="AI86" s="45"/>
      <c r="AJ86" s="45"/>
      <c r="AK86" s="45" t="s">
        <v>369</v>
      </c>
      <c r="AL86" s="45"/>
      <c r="AM86" s="45" t="s">
        <v>369</v>
      </c>
      <c r="AN86" s="44">
        <f t="shared" si="5"/>
        <v>47</v>
      </c>
      <c r="AO86" s="45"/>
      <c r="AP86" s="45"/>
      <c r="AQ86" s="45"/>
      <c r="AR86" s="45"/>
      <c r="AS86" s="45"/>
      <c r="AT86" s="45"/>
      <c r="AU86" s="45">
        <f t="shared" si="4"/>
        <v>21452</v>
      </c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</row>
    <row r="87" spans="1:75" ht="15" customHeight="1" x14ac:dyDescent="0.35">
      <c r="A87" s="45"/>
      <c r="B87" s="45"/>
      <c r="C87" s="45" t="s">
        <v>982</v>
      </c>
      <c r="D87" s="45"/>
      <c r="E87" s="45"/>
      <c r="F87" s="48">
        <v>58</v>
      </c>
      <c r="G87" s="48"/>
      <c r="H87" s="44" t="s">
        <v>477</v>
      </c>
      <c r="I87" s="44">
        <v>41</v>
      </c>
      <c r="J87" s="48"/>
      <c r="K87" s="45"/>
      <c r="L87" s="45"/>
      <c r="M87" s="45"/>
      <c r="N87" s="45" t="s">
        <v>487</v>
      </c>
      <c r="O87" s="48" t="s">
        <v>608</v>
      </c>
      <c r="P87" s="44"/>
      <c r="Q87" s="45"/>
      <c r="R87" s="46">
        <v>33746</v>
      </c>
      <c r="S87" s="47">
        <v>36201</v>
      </c>
      <c r="T87" s="47" t="s">
        <v>879</v>
      </c>
      <c r="U87" s="44" t="s">
        <v>983</v>
      </c>
      <c r="V87" s="45"/>
      <c r="W87" s="45" t="s">
        <v>487</v>
      </c>
      <c r="X87" s="47" t="s">
        <v>879</v>
      </c>
      <c r="Y87" s="45"/>
      <c r="Z87" s="45"/>
      <c r="AA87" s="47" t="s">
        <v>879</v>
      </c>
      <c r="AB87" s="45"/>
      <c r="AC87" s="45"/>
      <c r="AD87" s="45"/>
      <c r="AE87" s="45"/>
      <c r="AF87" s="45"/>
      <c r="AG87" s="44" t="s">
        <v>956</v>
      </c>
      <c r="AH87" s="44" t="s">
        <v>956</v>
      </c>
      <c r="AI87" s="45"/>
      <c r="AJ87" s="45"/>
      <c r="AK87" s="45" t="s">
        <v>381</v>
      </c>
      <c r="AL87" s="45"/>
      <c r="AM87" s="45" t="s">
        <v>381</v>
      </c>
      <c r="AN87" s="44">
        <f t="shared" si="5"/>
        <v>50</v>
      </c>
      <c r="AO87" s="45"/>
      <c r="AP87" s="45"/>
      <c r="AQ87" s="45"/>
      <c r="AR87" s="45"/>
      <c r="AS87" s="45"/>
      <c r="AT87" s="45"/>
      <c r="AU87" s="45">
        <f t="shared" si="4"/>
        <v>112012</v>
      </c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</row>
    <row r="88" spans="1:75" ht="15" customHeight="1" x14ac:dyDescent="0.35">
      <c r="A88" s="45"/>
      <c r="B88" s="45"/>
      <c r="C88" s="45" t="s">
        <v>984</v>
      </c>
      <c r="D88" s="45"/>
      <c r="E88" s="45"/>
      <c r="F88" s="48">
        <v>74</v>
      </c>
      <c r="G88" s="48"/>
      <c r="H88" s="44" t="s">
        <v>985</v>
      </c>
      <c r="I88" s="44">
        <v>78</v>
      </c>
      <c r="J88" s="48"/>
      <c r="K88" s="45"/>
      <c r="L88" s="45"/>
      <c r="M88" s="45"/>
      <c r="N88" s="45" t="s">
        <v>477</v>
      </c>
      <c r="O88" s="48" t="s">
        <v>831</v>
      </c>
      <c r="P88" s="44"/>
      <c r="Q88" s="45"/>
      <c r="R88" s="46">
        <v>21589</v>
      </c>
      <c r="S88" s="47" t="s">
        <v>986</v>
      </c>
      <c r="T88" s="47" t="s">
        <v>416</v>
      </c>
      <c r="U88" s="44" t="s">
        <v>489</v>
      </c>
      <c r="V88" s="45"/>
      <c r="W88" s="45" t="s">
        <v>477</v>
      </c>
      <c r="X88" s="47" t="s">
        <v>416</v>
      </c>
      <c r="Y88" s="45"/>
      <c r="Z88" s="45"/>
      <c r="AA88" s="47" t="s">
        <v>416</v>
      </c>
      <c r="AB88" s="45"/>
      <c r="AC88" s="45"/>
      <c r="AD88" s="45"/>
      <c r="AE88" s="45"/>
      <c r="AF88" s="45"/>
      <c r="AG88" s="44" t="s">
        <v>601</v>
      </c>
      <c r="AH88" s="44" t="s">
        <v>601</v>
      </c>
      <c r="AI88" s="45"/>
      <c r="AJ88" s="45"/>
      <c r="AK88" s="45" t="s">
        <v>987</v>
      </c>
      <c r="AL88" s="45"/>
      <c r="AM88" s="45" t="s">
        <v>987</v>
      </c>
      <c r="AN88" s="44">
        <f t="shared" si="5"/>
        <v>39</v>
      </c>
      <c r="AO88" s="45"/>
      <c r="AP88" s="45"/>
      <c r="AQ88" s="45"/>
      <c r="AR88" s="45"/>
      <c r="AS88" s="45"/>
      <c r="AT88" s="45"/>
      <c r="AU88" s="45">
        <f t="shared" si="4"/>
        <v>15012</v>
      </c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</row>
    <row r="89" spans="1:75" ht="15" customHeight="1" x14ac:dyDescent="0.35">
      <c r="A89" s="45"/>
      <c r="B89" s="45"/>
      <c r="C89" s="45" t="s">
        <v>988</v>
      </c>
      <c r="D89" s="45"/>
      <c r="E89" s="45"/>
      <c r="F89" s="48">
        <v>61</v>
      </c>
      <c r="G89" s="48"/>
      <c r="H89" s="44" t="s">
        <v>906</v>
      </c>
      <c r="I89" s="44">
        <v>36</v>
      </c>
      <c r="J89" s="48"/>
      <c r="K89" s="45"/>
      <c r="L89" s="45"/>
      <c r="M89" s="45"/>
      <c r="N89" s="45" t="s">
        <v>344</v>
      </c>
      <c r="O89" s="48" t="s">
        <v>392</v>
      </c>
      <c r="P89" s="44"/>
      <c r="Q89" s="45"/>
      <c r="R89" s="46">
        <v>30210</v>
      </c>
      <c r="S89" s="47" t="s">
        <v>989</v>
      </c>
      <c r="T89" s="47" t="s">
        <v>774</v>
      </c>
      <c r="U89" s="44" t="s">
        <v>413</v>
      </c>
      <c r="V89" s="45"/>
      <c r="W89" s="45" t="s">
        <v>344</v>
      </c>
      <c r="X89" s="47" t="s">
        <v>774</v>
      </c>
      <c r="Y89" s="45"/>
      <c r="Z89" s="45"/>
      <c r="AA89" s="47" t="s">
        <v>774</v>
      </c>
      <c r="AB89" s="45"/>
      <c r="AC89" s="45"/>
      <c r="AD89" s="45"/>
      <c r="AE89" s="45"/>
      <c r="AF89" s="45"/>
      <c r="AG89" s="44" t="s">
        <v>608</v>
      </c>
      <c r="AH89" s="44" t="s">
        <v>608</v>
      </c>
      <c r="AI89" s="45"/>
      <c r="AJ89" s="45"/>
      <c r="AK89" s="45" t="s">
        <v>990</v>
      </c>
      <c r="AL89" s="45"/>
      <c r="AM89" s="45" t="s">
        <v>990</v>
      </c>
      <c r="AN89" s="44">
        <f t="shared" si="5"/>
        <v>44</v>
      </c>
      <c r="AO89" s="45"/>
      <c r="AP89" s="45"/>
      <c r="AQ89" s="45"/>
      <c r="AR89" s="45"/>
      <c r="AS89" s="45"/>
      <c r="AT89" s="45"/>
      <c r="AU89" s="45">
        <f t="shared" si="4"/>
        <v>52104</v>
      </c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</row>
    <row r="90" spans="1:75" ht="15" customHeight="1" x14ac:dyDescent="0.35">
      <c r="A90" s="45"/>
      <c r="B90" s="45"/>
      <c r="C90" s="45" t="s">
        <v>991</v>
      </c>
      <c r="D90" s="45"/>
      <c r="E90" s="45"/>
      <c r="F90" s="48">
        <v>66</v>
      </c>
      <c r="G90" s="48"/>
      <c r="H90" s="44" t="s">
        <v>992</v>
      </c>
      <c r="I90" s="44">
        <v>8</v>
      </c>
      <c r="J90" s="48"/>
      <c r="K90" s="45"/>
      <c r="L90" s="45"/>
      <c r="M90" s="45"/>
      <c r="N90" s="45" t="s">
        <v>993</v>
      </c>
      <c r="O90" s="48" t="s">
        <v>381</v>
      </c>
      <c r="P90" s="44"/>
      <c r="Q90" s="45"/>
      <c r="R90" s="46">
        <v>37071</v>
      </c>
      <c r="S90" s="47" t="s">
        <v>994</v>
      </c>
      <c r="T90" s="47" t="s">
        <v>654</v>
      </c>
      <c r="U90" s="44" t="s">
        <v>995</v>
      </c>
      <c r="V90" s="45"/>
      <c r="W90" s="45" t="s">
        <v>993</v>
      </c>
      <c r="X90" s="47" t="s">
        <v>654</v>
      </c>
      <c r="Y90" s="45"/>
      <c r="Z90" s="45"/>
      <c r="AA90" s="47" t="s">
        <v>654</v>
      </c>
      <c r="AB90" s="45"/>
      <c r="AC90" s="45"/>
      <c r="AD90" s="45"/>
      <c r="AE90" s="45"/>
      <c r="AF90" s="45"/>
      <c r="AG90" s="44" t="s">
        <v>593</v>
      </c>
      <c r="AH90" s="44" t="s">
        <v>593</v>
      </c>
      <c r="AI90" s="45"/>
      <c r="AJ90" s="45"/>
      <c r="AK90" s="45" t="s">
        <v>303</v>
      </c>
      <c r="AL90" s="45"/>
      <c r="AM90" s="45" t="s">
        <v>303</v>
      </c>
      <c r="AN90" s="44">
        <f t="shared" si="5"/>
        <v>57</v>
      </c>
      <c r="AO90" s="45"/>
      <c r="AP90" s="45"/>
      <c r="AQ90" s="45"/>
      <c r="AR90" s="45"/>
      <c r="AS90" s="45"/>
      <c r="AT90" s="45"/>
      <c r="AU90" s="45">
        <f t="shared" si="4"/>
        <v>22024</v>
      </c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</row>
    <row r="91" spans="1:75" ht="15" customHeight="1" x14ac:dyDescent="0.35">
      <c r="A91" s="45"/>
      <c r="B91" s="45"/>
      <c r="C91" s="45" t="s">
        <v>996</v>
      </c>
      <c r="D91" s="45"/>
      <c r="E91" s="45"/>
      <c r="F91" s="48">
        <v>81</v>
      </c>
      <c r="G91" s="48"/>
      <c r="H91" s="44" t="s">
        <v>997</v>
      </c>
      <c r="I91" s="44">
        <v>51</v>
      </c>
      <c r="J91" s="48"/>
      <c r="K91" s="45"/>
      <c r="L91" s="45"/>
      <c r="M91" s="45"/>
      <c r="N91" s="45" t="s">
        <v>998</v>
      </c>
      <c r="O91" s="48" t="s">
        <v>430</v>
      </c>
      <c r="P91" s="44"/>
      <c r="Q91" s="45"/>
      <c r="R91" s="46">
        <v>28148</v>
      </c>
      <c r="S91" s="47" t="s">
        <v>999</v>
      </c>
      <c r="T91" s="47" t="s">
        <v>1000</v>
      </c>
      <c r="U91" s="44" t="s">
        <v>1001</v>
      </c>
      <c r="V91" s="45"/>
      <c r="W91" s="45" t="s">
        <v>998</v>
      </c>
      <c r="X91" s="47" t="s">
        <v>1000</v>
      </c>
      <c r="Y91" s="45"/>
      <c r="Z91" s="45"/>
      <c r="AA91" s="47" t="s">
        <v>1000</v>
      </c>
      <c r="AB91" s="45"/>
      <c r="AC91" s="45"/>
      <c r="AD91" s="45"/>
      <c r="AE91" s="45"/>
      <c r="AF91" s="45"/>
      <c r="AG91" s="44" t="s">
        <v>684</v>
      </c>
      <c r="AH91" s="44" t="s">
        <v>684</v>
      </c>
      <c r="AI91" s="45"/>
      <c r="AJ91" s="45"/>
      <c r="AK91" s="45" t="s">
        <v>1002</v>
      </c>
      <c r="AL91" s="45"/>
      <c r="AM91" s="45" t="s">
        <v>1002</v>
      </c>
      <c r="AN91" s="44">
        <f t="shared" si="5"/>
        <v>49</v>
      </c>
      <c r="AO91" s="45"/>
      <c r="AP91" s="45"/>
      <c r="AQ91" s="45"/>
      <c r="AR91" s="45"/>
      <c r="AS91" s="45"/>
      <c r="AT91" s="45"/>
      <c r="AU91" s="45">
        <f t="shared" si="4"/>
        <v>112584</v>
      </c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</row>
    <row r="92" spans="1:75" ht="15" customHeight="1" x14ac:dyDescent="0.35">
      <c r="A92" s="45"/>
      <c r="B92" s="45"/>
      <c r="C92" s="45" t="s">
        <v>1003</v>
      </c>
      <c r="D92" s="45"/>
      <c r="E92" s="45"/>
      <c r="F92" s="48">
        <v>60</v>
      </c>
      <c r="G92" s="48"/>
      <c r="H92" s="44" t="s">
        <v>892</v>
      </c>
      <c r="I92" s="44">
        <v>56</v>
      </c>
      <c r="J92" s="48"/>
      <c r="K92" s="45"/>
      <c r="L92" s="45"/>
      <c r="M92" s="45"/>
      <c r="N92" s="45" t="s">
        <v>749</v>
      </c>
      <c r="O92" s="48" t="s">
        <v>433</v>
      </c>
      <c r="P92" s="44"/>
      <c r="Q92" s="45"/>
      <c r="R92" s="46">
        <v>22425</v>
      </c>
      <c r="S92" s="47" t="s">
        <v>1004</v>
      </c>
      <c r="T92" s="47" t="s">
        <v>951</v>
      </c>
      <c r="U92" s="44" t="s">
        <v>1005</v>
      </c>
      <c r="V92" s="45"/>
      <c r="W92" s="45" t="s">
        <v>749</v>
      </c>
      <c r="X92" s="47" t="s">
        <v>951</v>
      </c>
      <c r="Y92" s="45"/>
      <c r="Z92" s="45"/>
      <c r="AA92" s="47" t="s">
        <v>951</v>
      </c>
      <c r="AB92" s="45"/>
      <c r="AC92" s="45"/>
      <c r="AD92" s="45"/>
      <c r="AE92" s="45"/>
      <c r="AF92" s="45"/>
      <c r="AG92" s="44" t="s">
        <v>422</v>
      </c>
      <c r="AH92" s="44" t="s">
        <v>422</v>
      </c>
      <c r="AI92" s="45"/>
      <c r="AJ92" s="45"/>
      <c r="AK92" s="45" t="s">
        <v>878</v>
      </c>
      <c r="AL92" s="45"/>
      <c r="AM92" s="45" t="s">
        <v>878</v>
      </c>
      <c r="AN92" s="44">
        <f t="shared" si="5"/>
        <v>52</v>
      </c>
      <c r="AO92" s="45"/>
      <c r="AP92" s="45"/>
      <c r="AQ92" s="45"/>
      <c r="AR92" s="45"/>
      <c r="AS92" s="45"/>
      <c r="AT92" s="45"/>
      <c r="AU92" s="45">
        <f t="shared" si="4"/>
        <v>15584</v>
      </c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</row>
    <row r="93" spans="1:75" ht="15" customHeight="1" x14ac:dyDescent="0.35">
      <c r="A93" s="45"/>
      <c r="B93" s="45"/>
      <c r="C93" s="45" t="s">
        <v>1006</v>
      </c>
      <c r="D93" s="45"/>
      <c r="E93" s="45"/>
      <c r="F93" s="48">
        <v>76</v>
      </c>
      <c r="G93" s="48"/>
      <c r="H93" s="44" t="s">
        <v>1007</v>
      </c>
      <c r="I93" s="44">
        <v>18</v>
      </c>
      <c r="J93" s="48"/>
      <c r="K93" s="45"/>
      <c r="L93" s="45"/>
      <c r="M93" s="45"/>
      <c r="N93" s="45" t="s">
        <v>1008</v>
      </c>
      <c r="O93" s="48" t="s">
        <v>470</v>
      </c>
      <c r="P93" s="44"/>
      <c r="Q93" s="45"/>
      <c r="R93" s="46">
        <v>37732</v>
      </c>
      <c r="S93" s="47">
        <v>11420</v>
      </c>
      <c r="T93" s="47" t="s">
        <v>502</v>
      </c>
      <c r="U93" s="44" t="s">
        <v>1009</v>
      </c>
      <c r="V93" s="45"/>
      <c r="W93" s="45" t="s">
        <v>1008</v>
      </c>
      <c r="X93" s="47" t="s">
        <v>502</v>
      </c>
      <c r="Y93" s="45"/>
      <c r="Z93" s="45"/>
      <c r="AA93" s="47" t="s">
        <v>502</v>
      </c>
      <c r="AB93" s="45"/>
      <c r="AC93" s="45"/>
      <c r="AD93" s="45"/>
      <c r="AE93" s="45"/>
      <c r="AF93" s="45"/>
      <c r="AG93" s="44" t="s">
        <v>676</v>
      </c>
      <c r="AH93" s="44" t="s">
        <v>676</v>
      </c>
      <c r="AI93" s="45"/>
      <c r="AJ93" s="45"/>
      <c r="AK93" s="45" t="s">
        <v>664</v>
      </c>
      <c r="AL93" s="45"/>
      <c r="AM93" s="45" t="s">
        <v>664</v>
      </c>
      <c r="AN93" s="44">
        <f t="shared" si="5"/>
        <v>41</v>
      </c>
      <c r="AO93" s="45"/>
      <c r="AP93" s="45"/>
      <c r="AQ93" s="45"/>
      <c r="AR93" s="45"/>
      <c r="AS93" s="45"/>
      <c r="AT93" s="45"/>
      <c r="AU93" s="45">
        <f t="shared" si="4"/>
        <v>52676</v>
      </c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</row>
    <row r="94" spans="1:75" ht="15" customHeight="1" x14ac:dyDescent="0.35">
      <c r="A94" s="45"/>
      <c r="B94" s="45"/>
      <c r="C94" s="45" t="s">
        <v>1010</v>
      </c>
      <c r="D94" s="45"/>
      <c r="E94" s="45"/>
      <c r="F94" s="48">
        <v>63</v>
      </c>
      <c r="G94" s="48"/>
      <c r="H94" s="44" t="s">
        <v>1011</v>
      </c>
      <c r="I94" s="44">
        <v>83</v>
      </c>
      <c r="J94" s="48"/>
      <c r="K94" s="45"/>
      <c r="L94" s="45"/>
      <c r="M94" s="45"/>
      <c r="N94" s="45" t="s">
        <v>1012</v>
      </c>
      <c r="O94" s="48" t="s">
        <v>479</v>
      </c>
      <c r="P94" s="44"/>
      <c r="Q94" s="45"/>
      <c r="R94" s="46">
        <v>19621</v>
      </c>
      <c r="S94" s="47" t="s">
        <v>1013</v>
      </c>
      <c r="T94" s="47" t="s">
        <v>644</v>
      </c>
      <c r="U94" s="44" t="s">
        <v>1014</v>
      </c>
      <c r="V94" s="45"/>
      <c r="W94" s="45" t="s">
        <v>1012</v>
      </c>
      <c r="X94" s="47" t="s">
        <v>644</v>
      </c>
      <c r="Y94" s="45"/>
      <c r="Z94" s="45"/>
      <c r="AA94" s="47" t="s">
        <v>644</v>
      </c>
      <c r="AB94" s="45"/>
      <c r="AC94" s="45"/>
      <c r="AD94" s="45"/>
      <c r="AE94" s="45"/>
      <c r="AF94" s="45"/>
      <c r="AG94" s="44" t="s">
        <v>851</v>
      </c>
      <c r="AH94" s="44" t="s">
        <v>851</v>
      </c>
      <c r="AI94" s="45"/>
      <c r="AJ94" s="45"/>
      <c r="AK94" s="45" t="s">
        <v>897</v>
      </c>
      <c r="AL94" s="45"/>
      <c r="AM94" s="45" t="s">
        <v>897</v>
      </c>
      <c r="AN94" s="44">
        <f t="shared" si="5"/>
        <v>46</v>
      </c>
      <c r="AO94" s="45"/>
      <c r="AP94" s="45"/>
      <c r="AQ94" s="45"/>
      <c r="AR94" s="45"/>
      <c r="AS94" s="45"/>
      <c r="AT94" s="45"/>
      <c r="AU94" s="45">
        <f t="shared" si="4"/>
        <v>22596</v>
      </c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</row>
    <row r="95" spans="1:75" ht="15" customHeight="1" x14ac:dyDescent="0.35">
      <c r="A95" s="45"/>
      <c r="B95" s="45"/>
      <c r="C95" s="45" t="s">
        <v>1015</v>
      </c>
      <c r="D95" s="45"/>
      <c r="E95" s="45"/>
      <c r="F95" s="48">
        <v>68</v>
      </c>
      <c r="G95" s="48"/>
      <c r="H95" s="44" t="s">
        <v>755</v>
      </c>
      <c r="I95" s="44">
        <v>67</v>
      </c>
      <c r="J95" s="48"/>
      <c r="K95" s="45"/>
      <c r="L95" s="45"/>
      <c r="M95" s="45"/>
      <c r="N95" s="45" t="s">
        <v>1016</v>
      </c>
      <c r="O95" s="48" t="s">
        <v>444</v>
      </c>
      <c r="P95" s="44"/>
      <c r="Q95" s="45"/>
      <c r="R95" s="46">
        <v>35430</v>
      </c>
      <c r="S95" s="47" t="s">
        <v>1017</v>
      </c>
      <c r="T95" s="47" t="s">
        <v>500</v>
      </c>
      <c r="U95" s="44" t="s">
        <v>923</v>
      </c>
      <c r="V95" s="45"/>
      <c r="W95" s="45" t="s">
        <v>1016</v>
      </c>
      <c r="X95" s="47" t="s">
        <v>500</v>
      </c>
      <c r="Y95" s="45"/>
      <c r="Z95" s="45"/>
      <c r="AA95" s="47" t="s">
        <v>500</v>
      </c>
      <c r="AB95" s="45"/>
      <c r="AC95" s="45"/>
      <c r="AD95" s="45"/>
      <c r="AE95" s="45"/>
      <c r="AF95" s="45"/>
      <c r="AG95" s="44" t="s">
        <v>843</v>
      </c>
      <c r="AH95" s="44" t="s">
        <v>843</v>
      </c>
      <c r="AI95" s="45"/>
      <c r="AJ95" s="45"/>
      <c r="AK95" s="45" t="s">
        <v>906</v>
      </c>
      <c r="AL95" s="45"/>
      <c r="AM95" s="45" t="s">
        <v>906</v>
      </c>
      <c r="AN95" s="44">
        <f t="shared" si="5"/>
        <v>59</v>
      </c>
      <c r="AO95" s="45"/>
      <c r="AP95" s="45"/>
      <c r="AQ95" s="45"/>
      <c r="AR95" s="45"/>
      <c r="AS95" s="45"/>
      <c r="AT95" s="45"/>
      <c r="AU95" s="45">
        <f t="shared" si="4"/>
        <v>113156</v>
      </c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</row>
    <row r="96" spans="1:75" ht="15" customHeight="1" x14ac:dyDescent="0.35">
      <c r="A96" s="45"/>
      <c r="B96" s="45"/>
      <c r="C96" s="45" t="s">
        <v>1018</v>
      </c>
      <c r="D96" s="45"/>
      <c r="E96" s="45"/>
      <c r="F96" s="48">
        <v>83</v>
      </c>
      <c r="G96" s="48"/>
      <c r="H96" s="44" t="s">
        <v>383</v>
      </c>
      <c r="I96" s="44">
        <v>23</v>
      </c>
      <c r="J96" s="48"/>
      <c r="K96" s="45"/>
      <c r="L96" s="45"/>
      <c r="M96" s="45"/>
      <c r="N96" s="45" t="s">
        <v>1019</v>
      </c>
      <c r="O96" s="48" t="s">
        <v>456</v>
      </c>
      <c r="P96" s="44"/>
      <c r="Q96" s="45"/>
      <c r="R96" s="46">
        <v>24748</v>
      </c>
      <c r="S96" s="47" t="s">
        <v>1020</v>
      </c>
      <c r="T96" s="47" t="s">
        <v>1021</v>
      </c>
      <c r="U96" s="44" t="s">
        <v>1022</v>
      </c>
      <c r="V96" s="45"/>
      <c r="W96" s="45" t="s">
        <v>1019</v>
      </c>
      <c r="X96" s="47" t="s">
        <v>1021</v>
      </c>
      <c r="Y96" s="45"/>
      <c r="Z96" s="45"/>
      <c r="AA96" s="47" t="s">
        <v>1021</v>
      </c>
      <c r="AB96" s="45"/>
      <c r="AC96" s="45"/>
      <c r="AD96" s="45"/>
      <c r="AE96" s="45"/>
      <c r="AF96" s="45"/>
      <c r="AG96" s="44" t="s">
        <v>672</v>
      </c>
      <c r="AH96" s="44" t="s">
        <v>672</v>
      </c>
      <c r="AI96" s="45"/>
      <c r="AJ96" s="45"/>
      <c r="AK96" s="45" t="s">
        <v>914</v>
      </c>
      <c r="AL96" s="45"/>
      <c r="AM96" s="45" t="s">
        <v>914</v>
      </c>
      <c r="AN96" s="44">
        <f t="shared" si="5"/>
        <v>51</v>
      </c>
      <c r="AO96" s="45"/>
      <c r="AP96" s="45"/>
      <c r="AQ96" s="45"/>
      <c r="AR96" s="45"/>
      <c r="AS96" s="45"/>
      <c r="AT96" s="45"/>
      <c r="AU96" s="45">
        <f t="shared" si="4"/>
        <v>16156</v>
      </c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</row>
    <row r="97" spans="1:75" ht="15" customHeight="1" x14ac:dyDescent="0.35">
      <c r="A97" s="45"/>
      <c r="B97" s="45"/>
      <c r="C97" s="45" t="s">
        <v>1023</v>
      </c>
      <c r="D97" s="45"/>
      <c r="E97" s="45"/>
      <c r="F97" s="48">
        <v>62</v>
      </c>
      <c r="G97" s="48"/>
      <c r="H97" s="44" t="s">
        <v>769</v>
      </c>
      <c r="I97" s="44">
        <v>5</v>
      </c>
      <c r="J97" s="48"/>
      <c r="K97" s="45"/>
      <c r="L97" s="45"/>
      <c r="M97" s="45"/>
      <c r="N97" s="45" t="s">
        <v>1024</v>
      </c>
      <c r="O97" s="48" t="s">
        <v>490</v>
      </c>
      <c r="P97" s="44"/>
      <c r="Q97" s="45"/>
      <c r="R97" s="46">
        <v>14400</v>
      </c>
      <c r="S97" s="47" t="s">
        <v>1025</v>
      </c>
      <c r="T97" s="47" t="s">
        <v>1026</v>
      </c>
      <c r="U97" s="44" t="s">
        <v>1027</v>
      </c>
      <c r="V97" s="45"/>
      <c r="W97" s="45" t="s">
        <v>1024</v>
      </c>
      <c r="X97" s="47" t="s">
        <v>1026</v>
      </c>
      <c r="Y97" s="45"/>
      <c r="Z97" s="45"/>
      <c r="AA97" s="47" t="s">
        <v>1026</v>
      </c>
      <c r="AB97" s="45"/>
      <c r="AC97" s="45"/>
      <c r="AD97" s="45"/>
      <c r="AE97" s="45"/>
      <c r="AF97" s="45"/>
      <c r="AG97" s="44" t="s">
        <v>654</v>
      </c>
      <c r="AH97" s="44" t="s">
        <v>654</v>
      </c>
      <c r="AI97" s="45"/>
      <c r="AJ97" s="45"/>
      <c r="AK97" s="45" t="s">
        <v>1028</v>
      </c>
      <c r="AL97" s="45"/>
      <c r="AM97" s="45" t="s">
        <v>1028</v>
      </c>
      <c r="AN97" s="44">
        <f t="shared" si="5"/>
        <v>54</v>
      </c>
      <c r="AO97" s="45"/>
      <c r="AP97" s="45"/>
      <c r="AQ97" s="45"/>
      <c r="AR97" s="45"/>
      <c r="AS97" s="45"/>
      <c r="AT97" s="45"/>
      <c r="AU97" s="45">
        <f t="shared" si="4"/>
        <v>53248</v>
      </c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</row>
    <row r="98" spans="1:75" ht="15" customHeight="1" x14ac:dyDescent="0.35">
      <c r="A98" s="45"/>
      <c r="B98" s="45"/>
      <c r="C98" s="45" t="s">
        <v>1029</v>
      </c>
      <c r="D98" s="45"/>
      <c r="E98" s="45"/>
      <c r="F98" s="48">
        <v>78</v>
      </c>
      <c r="G98" s="48"/>
      <c r="H98" s="44" t="s">
        <v>777</v>
      </c>
      <c r="I98" s="44">
        <v>98</v>
      </c>
      <c r="J98" s="48"/>
      <c r="K98" s="45"/>
      <c r="L98" s="45"/>
      <c r="M98" s="45"/>
      <c r="N98" s="45" t="s">
        <v>295</v>
      </c>
      <c r="O98" s="48" t="s">
        <v>502</v>
      </c>
      <c r="P98" s="44"/>
      <c r="Q98" s="45"/>
      <c r="R98" s="46">
        <v>25140</v>
      </c>
      <c r="S98" s="47">
        <v>82491</v>
      </c>
      <c r="T98" s="47" t="s">
        <v>303</v>
      </c>
      <c r="U98" s="44" t="s">
        <v>908</v>
      </c>
      <c r="V98" s="45"/>
      <c r="W98" s="45" t="s">
        <v>295</v>
      </c>
      <c r="X98" s="47" t="s">
        <v>303</v>
      </c>
      <c r="Y98" s="45"/>
      <c r="Z98" s="45"/>
      <c r="AA98" s="47" t="s">
        <v>303</v>
      </c>
      <c r="AB98" s="45"/>
      <c r="AC98" s="45"/>
      <c r="AD98" s="45"/>
      <c r="AE98" s="45"/>
      <c r="AF98" s="45"/>
      <c r="AG98" s="44" t="s">
        <v>663</v>
      </c>
      <c r="AH98" s="44" t="s">
        <v>663</v>
      </c>
      <c r="AI98" s="45"/>
      <c r="AJ98" s="45"/>
      <c r="AK98" s="45" t="s">
        <v>875</v>
      </c>
      <c r="AL98" s="45"/>
      <c r="AM98" s="45" t="s">
        <v>875</v>
      </c>
      <c r="AN98" s="44">
        <f t="shared" si="5"/>
        <v>43</v>
      </c>
      <c r="AO98" s="45"/>
      <c r="AP98" s="45"/>
      <c r="AQ98" s="45"/>
      <c r="AR98" s="45"/>
      <c r="AS98" s="45"/>
      <c r="AT98" s="45"/>
      <c r="AU98" s="45">
        <f t="shared" si="4"/>
        <v>23168</v>
      </c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</row>
    <row r="99" spans="1:75" ht="15" customHeight="1" x14ac:dyDescent="0.35">
      <c r="A99" s="45"/>
      <c r="B99" s="45"/>
      <c r="C99" s="45" t="s">
        <v>1030</v>
      </c>
      <c r="D99" s="45"/>
      <c r="E99" s="45"/>
      <c r="F99" s="48">
        <v>65</v>
      </c>
      <c r="G99" s="48"/>
      <c r="H99" s="44" t="s">
        <v>1031</v>
      </c>
      <c r="I99" s="44">
        <v>77</v>
      </c>
      <c r="J99" s="48"/>
      <c r="K99" s="45"/>
      <c r="L99" s="45"/>
      <c r="M99" s="45"/>
      <c r="N99" s="45" t="s">
        <v>1032</v>
      </c>
      <c r="O99" s="48" t="s">
        <v>305</v>
      </c>
      <c r="P99" s="44"/>
      <c r="Q99" s="45"/>
      <c r="R99" s="46">
        <v>18717</v>
      </c>
      <c r="S99" s="47" t="s">
        <v>1033</v>
      </c>
      <c r="T99" s="47" t="s">
        <v>299</v>
      </c>
      <c r="U99" s="44" t="s">
        <v>1034</v>
      </c>
      <c r="V99" s="45"/>
      <c r="W99" s="45" t="s">
        <v>1032</v>
      </c>
      <c r="X99" s="47" t="s">
        <v>299</v>
      </c>
      <c r="Y99" s="45"/>
      <c r="Z99" s="45"/>
      <c r="AA99" s="47" t="s">
        <v>299</v>
      </c>
      <c r="AB99" s="45"/>
      <c r="AC99" s="45"/>
      <c r="AD99" s="45"/>
      <c r="AE99" s="45"/>
      <c r="AF99" s="45"/>
      <c r="AG99" s="44" t="s">
        <v>897</v>
      </c>
      <c r="AH99" s="44" t="s">
        <v>897</v>
      </c>
      <c r="AI99" s="45"/>
      <c r="AJ99" s="45"/>
      <c r="AK99" s="45" t="s">
        <v>1035</v>
      </c>
      <c r="AL99" s="45"/>
      <c r="AM99" s="45" t="s">
        <v>1035</v>
      </c>
      <c r="AN99" s="44">
        <f t="shared" si="5"/>
        <v>48</v>
      </c>
      <c r="AO99" s="45"/>
      <c r="AP99" s="45"/>
      <c r="AQ99" s="45"/>
      <c r="AR99" s="45"/>
      <c r="AS99" s="45"/>
      <c r="AT99" s="45"/>
      <c r="AU99" s="45">
        <f t="shared" si="4"/>
        <v>113728</v>
      </c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</row>
    <row r="100" spans="1:75" ht="15" customHeight="1" x14ac:dyDescent="0.35">
      <c r="A100" s="45"/>
      <c r="B100" s="45"/>
      <c r="C100" s="45" t="s">
        <v>1036</v>
      </c>
      <c r="D100" s="45"/>
      <c r="E100" s="45"/>
      <c r="F100" s="48">
        <v>70</v>
      </c>
      <c r="G100" s="48"/>
      <c r="H100" s="44" t="s">
        <v>1037</v>
      </c>
      <c r="I100" s="44">
        <v>94</v>
      </c>
      <c r="J100" s="48"/>
      <c r="K100" s="45"/>
      <c r="L100" s="45"/>
      <c r="M100" s="45"/>
      <c r="N100" s="45" t="s">
        <v>1038</v>
      </c>
      <c r="O100" s="48" t="s">
        <v>667</v>
      </c>
      <c r="P100" s="44"/>
      <c r="Q100" s="45"/>
      <c r="R100" s="46">
        <v>31543</v>
      </c>
      <c r="S100" s="47">
        <v>70469</v>
      </c>
      <c r="T100" s="47" t="s">
        <v>321</v>
      </c>
      <c r="U100" s="44" t="s">
        <v>1039</v>
      </c>
      <c r="V100" s="45"/>
      <c r="W100" s="45" t="s">
        <v>1038</v>
      </c>
      <c r="X100" s="47" t="s">
        <v>321</v>
      </c>
      <c r="Y100" s="45"/>
      <c r="Z100" s="45"/>
      <c r="AA100" s="47" t="s">
        <v>321</v>
      </c>
      <c r="AB100" s="45"/>
      <c r="AC100" s="45"/>
      <c r="AD100" s="45"/>
      <c r="AE100" s="45"/>
      <c r="AF100" s="45"/>
      <c r="AG100" s="44" t="s">
        <v>914</v>
      </c>
      <c r="AH100" s="44" t="s">
        <v>914</v>
      </c>
      <c r="AI100" s="45"/>
      <c r="AJ100" s="45"/>
      <c r="AK100" s="45" t="s">
        <v>1040</v>
      </c>
      <c r="AL100" s="45"/>
      <c r="AM100" s="45" t="s">
        <v>1040</v>
      </c>
      <c r="AN100" s="44">
        <f t="shared" si="5"/>
        <v>61</v>
      </c>
      <c r="AO100" s="45"/>
      <c r="AP100" s="45"/>
      <c r="AQ100" s="45"/>
      <c r="AR100" s="45"/>
      <c r="AS100" s="45"/>
      <c r="AT100" s="45"/>
      <c r="AU100" s="45">
        <f t="shared" si="4"/>
        <v>16728</v>
      </c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</row>
    <row r="101" spans="1:75" ht="15" customHeight="1" x14ac:dyDescent="0.35">
      <c r="A101" s="45"/>
      <c r="B101" s="45"/>
      <c r="C101" s="45" t="s">
        <v>1041</v>
      </c>
      <c r="D101" s="45"/>
      <c r="E101" s="45"/>
      <c r="F101" s="48">
        <v>85</v>
      </c>
      <c r="G101" s="48"/>
      <c r="H101" s="44" t="s">
        <v>596</v>
      </c>
      <c r="I101" s="44">
        <v>89</v>
      </c>
      <c r="J101" s="48"/>
      <c r="K101" s="45"/>
      <c r="L101" s="45"/>
      <c r="M101" s="45"/>
      <c r="N101" s="45" t="s">
        <v>1042</v>
      </c>
      <c r="O101" s="48" t="s">
        <v>596</v>
      </c>
      <c r="P101" s="44"/>
      <c r="Q101" s="45"/>
      <c r="R101" s="46">
        <v>21103</v>
      </c>
      <c r="S101" s="47" t="s">
        <v>1043</v>
      </c>
      <c r="T101" s="47" t="s">
        <v>337</v>
      </c>
      <c r="U101" s="44" t="s">
        <v>1044</v>
      </c>
      <c r="V101" s="45"/>
      <c r="W101" s="45" t="s">
        <v>1042</v>
      </c>
      <c r="X101" s="47" t="s">
        <v>337</v>
      </c>
      <c r="Y101" s="45"/>
      <c r="Z101" s="45"/>
      <c r="AA101" s="47" t="s">
        <v>337</v>
      </c>
      <c r="AB101" s="45"/>
      <c r="AC101" s="45"/>
      <c r="AD101" s="45"/>
      <c r="AE101" s="45"/>
      <c r="AF101" s="45"/>
      <c r="AG101" s="44" t="s">
        <v>906</v>
      </c>
      <c r="AH101" s="44" t="s">
        <v>906</v>
      </c>
      <c r="AI101" s="45"/>
      <c r="AJ101" s="45"/>
      <c r="AK101" s="45" t="s">
        <v>893</v>
      </c>
      <c r="AL101" s="45"/>
      <c r="AM101" s="45" t="s">
        <v>893</v>
      </c>
      <c r="AN101" s="44">
        <f t="shared" si="5"/>
        <v>53</v>
      </c>
      <c r="AO101" s="45"/>
      <c r="AP101" s="45"/>
      <c r="AQ101" s="45"/>
      <c r="AR101" s="45"/>
      <c r="AS101" s="45"/>
      <c r="AT101" s="45"/>
      <c r="AU101" s="45">
        <f t="shared" si="4"/>
        <v>53820</v>
      </c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</row>
    <row r="102" spans="1:75" ht="15" customHeight="1" x14ac:dyDescent="0.35">
      <c r="A102" s="45"/>
      <c r="B102" s="45"/>
      <c r="C102" s="45" t="s">
        <v>1045</v>
      </c>
      <c r="D102" s="45"/>
      <c r="E102" s="45"/>
      <c r="F102" s="48">
        <v>64</v>
      </c>
      <c r="G102" s="48"/>
      <c r="H102" s="45"/>
      <c r="I102" s="44">
        <v>92</v>
      </c>
      <c r="J102" s="48"/>
      <c r="K102" s="45"/>
      <c r="L102" s="45"/>
      <c r="M102" s="45"/>
      <c r="N102" s="45" t="s">
        <v>1046</v>
      </c>
      <c r="O102" s="48" t="s">
        <v>604</v>
      </c>
      <c r="P102" s="44"/>
      <c r="Q102" s="45"/>
      <c r="R102" s="46">
        <v>25026</v>
      </c>
      <c r="S102" s="47" t="s">
        <v>1047</v>
      </c>
      <c r="T102" s="47" t="s">
        <v>865</v>
      </c>
      <c r="U102" s="45"/>
      <c r="V102" s="45"/>
      <c r="W102" s="45" t="s">
        <v>1046</v>
      </c>
      <c r="X102" s="47" t="s">
        <v>865</v>
      </c>
      <c r="Y102" s="45"/>
      <c r="Z102" s="45"/>
      <c r="AA102" s="47" t="s">
        <v>865</v>
      </c>
      <c r="AB102" s="45"/>
      <c r="AC102" s="45"/>
      <c r="AD102" s="45"/>
      <c r="AE102" s="45"/>
      <c r="AF102" s="45"/>
      <c r="AG102" s="44" t="s">
        <v>510</v>
      </c>
      <c r="AH102" s="44" t="s">
        <v>510</v>
      </c>
      <c r="AI102" s="45"/>
      <c r="AJ102" s="45"/>
      <c r="AK102" s="45" t="s">
        <v>1048</v>
      </c>
      <c r="AL102" s="45"/>
      <c r="AM102" s="45" t="s">
        <v>1048</v>
      </c>
      <c r="AN102" s="44">
        <f t="shared" si="5"/>
        <v>56</v>
      </c>
      <c r="AO102" s="45"/>
      <c r="AP102" s="45"/>
      <c r="AQ102" s="45"/>
      <c r="AR102" s="45"/>
      <c r="AS102" s="45"/>
      <c r="AT102" s="45"/>
      <c r="AU102" s="45">
        <f t="shared" si="4"/>
        <v>23740</v>
      </c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</row>
  </sheetData>
  <pageMargins left="0.7" right="0.7" top="0.75" bottom="0.75" header="0.3" footer="0.3"/>
  <pageSetup orientation="portrait" r:id="rId1"/>
  <headerFooter>
    <oddFooter>&amp;L2/7/2025&amp;CAXP Internal&amp;R2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en_x0020_with_x0020_Seclore xmlns="d4e4077e-76a5-46ee-85c9-5d65beff99c3" xsi:nil="true"/>
    <lcf76f155ced4ddcb4097134ff3c332f xmlns="d4e4077e-76a5-46ee-85c9-5d65beff99c3">
      <Terms xmlns="http://schemas.microsoft.com/office/infopath/2007/PartnerControls"/>
    </lcf76f155ced4ddcb4097134ff3c332f>
    <TaxCatchAll xmlns="aa36d193-bd87-45bb-8f78-4a6294c749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14E97BC35EB44B2F7FB3CC2E9C90D" ma:contentTypeVersion="18" ma:contentTypeDescription="Create a new document." ma:contentTypeScope="" ma:versionID="c584cac9f24f5a88e287a7a33afaf1cc">
  <xsd:schema xmlns:xsd="http://www.w3.org/2001/XMLSchema" xmlns:xs="http://www.w3.org/2001/XMLSchema" xmlns:p="http://schemas.microsoft.com/office/2006/metadata/properties" xmlns:ns2="d4e4077e-76a5-46ee-85c9-5d65beff99c3" xmlns:ns3="aa36d193-bd87-45bb-8f78-4a6294c74937" targetNamespace="http://schemas.microsoft.com/office/2006/metadata/properties" ma:root="true" ma:fieldsID="8506ba2d5432da6db50c04ec6b2a544e" ns2:_="" ns3:_="">
    <xsd:import namespace="d4e4077e-76a5-46ee-85c9-5d65beff99c3"/>
    <xsd:import namespace="aa36d193-bd87-45bb-8f78-4a6294c74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Open_x0020_with_x0020_Seclore" minOccurs="0"/>
                <xsd:element ref="ns3:SharedWithUsers" minOccurs="0"/>
                <xsd:element ref="ns3:SharedWithDetail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4077e-76a5-46ee-85c9-5d65beff9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Open_x0020_with_x0020_Seclore" ma:index="12" nillable="true" ma:displayName="Open with Seclore" ma:hidden="true" ma:internalName="Open_x0020_with_x0020_Seclor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de466b6-51d3-4163-b644-6f4f28f1a6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6d193-bd87-45bb-8f78-4a6294c7493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2a8caa9-7c07-4300-a223-326182ae32f4}" ma:internalName="TaxCatchAll" ma:showField="CatchAllData" ma:web="aa36d193-bd87-45bb-8f78-4a6294c74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9DB572-3A53-4BF6-8234-8DB696CF63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22CFF3-1135-40CC-9836-226D0DF68122}">
  <ds:schemaRefs>
    <ds:schemaRef ds:uri="http://schemas.microsoft.com/office/2006/metadata/properties"/>
    <ds:schemaRef ds:uri="http://schemas.microsoft.com/office/infopath/2007/PartnerControls"/>
    <ds:schemaRef ds:uri="d4e4077e-76a5-46ee-85c9-5d65beff99c3"/>
    <ds:schemaRef ds:uri="aa36d193-bd87-45bb-8f78-4a6294c74937"/>
  </ds:schemaRefs>
</ds:datastoreItem>
</file>

<file path=customXml/itemProps3.xml><?xml version="1.0" encoding="utf-8"?>
<ds:datastoreItem xmlns:ds="http://schemas.openxmlformats.org/officeDocument/2006/customXml" ds:itemID="{145CE446-B0C5-4D63-A577-D8B7300A8A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4077e-76a5-46ee-85c9-5d65beff99c3"/>
    <ds:schemaRef ds:uri="aa36d193-bd87-45bb-8f78-4a6294c74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CRR - Consumer and SBS</vt:lpstr>
      <vt:lpstr>Standardization Variables</vt:lpstr>
      <vt:lpstr>DAM Sample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Srivastava</dc:creator>
  <cp:keywords/>
  <dc:description/>
  <cp:lastModifiedBy>Priya Bhanot</cp:lastModifiedBy>
  <cp:revision/>
  <dcterms:created xsi:type="dcterms:W3CDTF">2025-02-06T11:16:22Z</dcterms:created>
  <dcterms:modified xsi:type="dcterms:W3CDTF">2025-04-08T12:01:14Z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Riya Srivastava</vt:lpwstr>
  </property>
  <property fmtid="{D5CDD505-2E9C-101B-9397-08002B2CF9AE}" pid="3" name="AXPDataClassification">
    <vt:lpwstr>AXP Internal</vt:lpwstr>
  </property>
  <property fmtid="{D5CDD505-2E9C-101B-9397-08002B2CF9AE}" pid="4" name="AXPDataClassificationForSearch">
    <vt:lpwstr>AXPInternal_UniqueSearchString</vt:lpwstr>
  </property>
  <property fmtid="{D5CDD505-2E9C-101B-9397-08002B2CF9AE}" pid="5" name="ContentTypeId">
    <vt:lpwstr>0x01010023A14E97BC35EB44B2F7FB3CC2E9C90D</vt:lpwstr>
  </property>
  <property fmtid="{D5CDD505-2E9C-101B-9397-08002B2CF9AE}" pid="6" name="MediaServiceImageTags">
    <vt:lpwstr/>
  </property>
</Properties>
</file>