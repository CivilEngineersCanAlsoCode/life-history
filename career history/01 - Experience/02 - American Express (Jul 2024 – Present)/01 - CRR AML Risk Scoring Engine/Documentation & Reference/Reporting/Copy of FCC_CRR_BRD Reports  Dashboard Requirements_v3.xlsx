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drive.aexp.com/personal/pallavi_kumari4_aexp_com/Documents/Documents/"/>
    </mc:Choice>
  </mc:AlternateContent>
  <xr:revisionPtr revIDLastSave="0" documentId="8_{3B3693DB-1B46-42EE-98B6-76E3423D8542}" xr6:coauthVersionLast="47" xr6:coauthVersionMax="47" xr10:uidLastSave="{00000000-0000-0000-0000-000000000000}"/>
  <bookViews>
    <workbookView xWindow="-110" yWindow="-110" windowWidth="19420" windowHeight="10300" tabRatio="776" firstSheet="4" activeTab="4" xr2:uid="{4C7ADD4B-0916-48E8-83AC-B2F21EF09E02}"/>
  </bookViews>
  <sheets>
    <sheet name="POA Reports (2)" sheetId="7" r:id="rId1"/>
    <sheet name="Overview" sheetId="6" r:id="rId2"/>
    <sheet name="Revision History" sheetId="5" r:id="rId3"/>
    <sheet name="System Requirements" sheetId="1" r:id="rId4"/>
    <sheet name="POA Reports" sheetId="4" r:id="rId5"/>
    <sheet name="POA Dashboards" sheetId="3" r:id="rId6"/>
  </sheets>
  <definedNames>
    <definedName name="_xlnm._FilterDatabase" localSheetId="4" hidden="1">'POA Reports'!$B$2:$N$9</definedName>
    <definedName name="_xlnm._FilterDatabase" localSheetId="0" hidden="1">'POA Reports (2)'!$B$2:$N$9</definedName>
    <definedName name="_xlnm._FilterDatabase" localSheetId="3" hidden="1">'System Requirements'!$A$3:$K$13</definedName>
    <definedName name="_xlnm._FilterDatabase" localSheetId="5" hidden="1">'POA Dashboards'!$B$1:$M$74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6" l="1"/>
  <c r="J11" i="6"/>
  <c r="J10" i="6"/>
  <c r="J9" i="6"/>
</calcChain>
</file>

<file path=xl/sharedStrings.xml><?xml version="1.0" encoding="utf-8"?>
<sst xmlns="http://schemas.openxmlformats.org/spreadsheetml/2006/main" count="1188" uniqueCount="499">
  <si>
    <t>#</t>
  </si>
  <si>
    <t>Global/ Local</t>
  </si>
  <si>
    <t>Function</t>
  </si>
  <si>
    <t>Phase</t>
  </si>
  <si>
    <t>Report Name</t>
  </si>
  <si>
    <t>Description</t>
  </si>
  <si>
    <t>Category</t>
  </si>
  <si>
    <t xml:space="preserve">Type </t>
  </si>
  <si>
    <t>Frequency</t>
  </si>
  <si>
    <t>Existing in GAITS (Y/N)</t>
  </si>
  <si>
    <t>Indicative Fields (To be modified based on the target state)</t>
  </si>
  <si>
    <t>Additional Fields (for Self Service Reports)</t>
  </si>
  <si>
    <t>Reviewed 
[ Y / N / WIP ]</t>
  </si>
  <si>
    <t>R1</t>
  </si>
  <si>
    <t>Global</t>
  </si>
  <si>
    <t>Investigations</t>
  </si>
  <si>
    <t>Trigger &amp; Assess</t>
  </si>
  <si>
    <t>Triggered Risk Events</t>
  </si>
  <si>
    <t xml:space="preserve">List of all risk events that are triggered in the system.
Adhoc report to be filtered based on the timeframe, risk score, market, region, product type, hibernation flag, source creation date &amp; status
</t>
  </si>
  <si>
    <t>MIS</t>
  </si>
  <si>
    <t>1. Batch
2.  Self-service</t>
  </si>
  <si>
    <t>1. Weekly/ Monthly
2. As required</t>
  </si>
  <si>
    <t>N</t>
  </si>
  <si>
    <t xml:space="preserve">
- Input ID
- Input Type
- Legal Entity
- Risk Event ID
- Product Type
- Market
- Region
- Source Creation Date
- Risk Score
- Status
- Hibernation Flag
- Closed Date/ Promoted date along with alert/ case details
- Aging of risk events (between source creation date and Closed Date/ Promotion date)
- Linked Alert/ Case details    
- Linking Date</t>
  </si>
  <si>
    <t xml:space="preserve">
- Customer ID
- Custome Name</t>
  </si>
  <si>
    <t>Y</t>
  </si>
  <si>
    <t>R2</t>
  </si>
  <si>
    <t>Analyze/ Action</t>
  </si>
  <si>
    <t>All Open &amp; Closed Alerts/ Cases</t>
  </si>
  <si>
    <t>List of all the open and closed alerts and cases.
Adhoc report to be filtered based on the timeframe (alert/ case create date, closed date, source create date), status, region, market, legal entity, product type and decision</t>
  </si>
  <si>
    <t>Board, Regulatory</t>
  </si>
  <si>
    <t>1. Batch
2. Self-service</t>
  </si>
  <si>
    <t>1. Weekly
2. As required</t>
  </si>
  <si>
    <t>Y (GAITS All Report)</t>
  </si>
  <si>
    <t xml:space="preserve">
- Matter ID
- Input ID
- Input Name
- Input type
- Product type
- Legal Entity
- Line of Business
- Market
- Region
- PEP
- Hibernation flag
- Alert/ Case Create date
- Alert Assign date
- Case Assign date
- Closed Date
- Alert/ Case Status
- Decision at each level
- Last Decision Date
- SAR File Date
- SAR file type
- SAR Rejected Indicator
- End to end Aging
- Alert level aging/ Case level aging
- Aging Bucket 
- Reviewer Details (along with team)
- Worked By Team
- Reviewer Location
- Amount Involved
- Cumulative Amount
- Suspicious Activity Amount
- RCA Scheduled date
- PDS Details &amp; Clock
- FIU Escalation
- FIU Escalation Date
- FIU Escalation Aging
</t>
  </si>
  <si>
    <t xml:space="preserve">
- Customer ID
- Custome Name
- Product
- Report Status Flag
- Current Reviewer
- Iteration
- Is Joint
 - RCA Schedule Type
- Subjects per Report
- RFI Raised Date
- RFI Pending with Team</t>
  </si>
  <si>
    <t>R3</t>
  </si>
  <si>
    <t>Action</t>
  </si>
  <si>
    <t>SAR Report with Location, Products &amp; LOBs</t>
  </si>
  <si>
    <t>All SAR filings for a given date range with customer, location, product, and lines of business</t>
  </si>
  <si>
    <t>Board</t>
  </si>
  <si>
    <t>Self service</t>
  </si>
  <si>
    <t>1. As required</t>
  </si>
  <si>
    <t>Y(GAITS Reports with Locations, Products &amp; LOBs)</t>
  </si>
  <si>
    <t xml:space="preserve">
- Matter ID
- Alert/ Case Create date
- Input ID
- Input Name
- Input type
- Product type
- Line of business
- Legal Entity
- Market
- Region
- PEP
- Case Assign date 
- Decision date
- Decision current
- Closed Date
- Status
- Include in SAR
- SAR File Date
- SAR file type
- End to end Aging (between Alert/ Case Create date and SAR file date)
- Reviewer ID
 - Reviewer team
- Reviewer Location
- Amount Involved
-  Suspicious Activity Amount
- RCA Scheduled date
</t>
  </si>
  <si>
    <t xml:space="preserve">
-  Customer ID
- Customer Name</t>
  </si>
  <si>
    <t>R4</t>
  </si>
  <si>
    <t>SAR Filing Status</t>
  </si>
  <si>
    <t>Number &amp; details of batches and SARs submitted in the past week, by batch submit date, along with acknowledgement status, which is reviewed to ensure that batches are accepted and acknowledged by regulator and identify issues in a timely fashion</t>
  </si>
  <si>
    <t>Y (Batch Filings Status Report by Batch Submit Date )</t>
  </si>
  <si>
    <t xml:space="preserve">
- Matter ID
- Alert/ Case Create date
- Input ID
- Input Name
- Input type
- Legal Entity
- Product type
- Market
- Region
- PEP
- Case Assign date 
- Closed Date
- Status
- Batch submission date
- Rejection Reason
- SAR File Date
- SAR file type
- End to end Aging
- Reviewer Details (along with team)
- Reviewer Location
- Amount Involved
-Suspicious Activity Amount
- RCA Scheduled date
</t>
  </si>
  <si>
    <t>R5</t>
  </si>
  <si>
    <t>General</t>
  </si>
  <si>
    <t>Audit Trail</t>
  </si>
  <si>
    <t>Audit trail for a particular alert or case</t>
  </si>
  <si>
    <t>NA</t>
  </si>
  <si>
    <t>R6</t>
  </si>
  <si>
    <t>Record Retention</t>
  </si>
  <si>
    <t>Retention Schedule</t>
  </si>
  <si>
    <t>Retention schedule across the globe with the ability to filter by market</t>
  </si>
  <si>
    <t xml:space="preserve">
- Market
- Retention period
- Retention clock trigger [Active for the duration of the reporting period OR
Active for the life of the account]
- Regulation effective date (in order to track regulatory update)</t>
  </si>
  <si>
    <t>R7</t>
  </si>
  <si>
    <t>Purge and Hold Record</t>
  </si>
  <si>
    <t xml:space="preserve">Details related to purge and hold records
System should provide filter criteria for user to select records as mentioned below -
&gt; Records with a "Hold" status
&gt; Records that are coming up for purge in the next pre-selected time period (e.g., next 7 days, next 1 month, able to select custom time range). 
&gt; Records that are  purgeed in past (range based on the purging for each market) with the corresponding attributes
&gt; Records that has been retained beyond the retention timeframe (and dont have a hold) </t>
  </si>
  <si>
    <t xml:space="preserve">
- Customer ID
- Retention start date
- Purge date (if applicable)
- Hold reason (if applicable)
- Alert/ Case ID</t>
  </si>
  <si>
    <t>R8</t>
  </si>
  <si>
    <t>User Access</t>
  </si>
  <si>
    <t>User Access Details</t>
  </si>
  <si>
    <t>Access details for each of the user across workflows (like Investigations, CRR, EDD, Sanctions etc.)</t>
  </si>
  <si>
    <t xml:space="preserve">
- Employee ID
- Employee Name
- FIU/ Market Team
- Market
- Region
- Product Type
- Investigator permissions
- Access Expiration Date
- Access Grant Date
- Workflow
- Leader Name
- Legal Entity (Description)
- Responsibility Center</t>
  </si>
  <si>
    <t>R9</t>
  </si>
  <si>
    <t>CRR</t>
  </si>
  <si>
    <t>Market level CRR Sanbox vs Production Comparison</t>
  </si>
  <si>
    <t>Comparison between Sandbox &amp; Production environment on number of customers for a particular market.
System should provide user ability to filier the report based on following paramters:
- Market
- Legal Entity
- Customer Type
Note: System should display Enterprise level scoring by default with an ability to toggle to Legal Entity scoring.  (The different level of reporting to be validated against the use case in CRR BRD overtime)</t>
  </si>
  <si>
    <t xml:space="preserve">
- Market
- Legal Entity
- Sandbox Environment Details for each of Low, Medium &amp; High Risk Customers
   - Total Number
   - Percentage
- Production Environment Details for each of Low, Medium &amp; High Risk Customers
   - Total Number
   - Percentage
- Percentage Movement  (Sandbox % - Production %)
- Customer Movement (Sandbox - Production)</t>
  </si>
  <si>
    <t>R10</t>
  </si>
  <si>
    <t>Product-wise CRR Sanbox vs Production Comparison</t>
  </si>
  <si>
    <t>Comparison between Sandbox &amp; Production environment on number of customers for a particular market, product, Legal entity.
System should provide user ability to filier the report based on following paramters:
- Market
- Legal Entity
- Product
- Customer Type
Note: System should display Enterprise level scoring by default with an ability to toggle to Legal Entity scoring.  (The different level of reporting to be validated against the use case in CRR BRD overtime)</t>
  </si>
  <si>
    <t xml:space="preserve">
- Market
- Legal Entity
- Product
- Total Number &amp; Percentage of Low Risk Customers in Sandbox
- Total Number &amp; Percentage of Low Risk Customers in Production 
- Total Number &amp; Percentage of  Medium   Risk Customers in Sandbox
- Total Number &amp; Percentage of Medium Risk Customers in Production
- Total Number &amp; Percentage of High Risk Customers in Sandbox
- Total Number &amp; Percentage of High Risk Customers in Production
- Percentage Movement  (Sandbox % - Production %)
- Customer Movement (Sandbox - Production)
</t>
  </si>
  <si>
    <t>R11</t>
  </si>
  <si>
    <t>All customers triggered for a risk element</t>
  </si>
  <si>
    <t>Number of customers triggering for a risk element and corresponding multiplier/risk points
Note: System should display Enterprise level details by default with an ability to toggle to Legal Entity details.  (The different level of reporting to be validated against the use case in CRR BRD overtime)</t>
  </si>
  <si>
    <t xml:space="preserve">
- Risk Category
- Risk Element (Risk Points)
- Risk Rating
- Total  number of Customers</t>
  </si>
  <si>
    <t>R12</t>
  </si>
  <si>
    <t xml:space="preserve">CRR Scoring Matrix </t>
  </si>
  <si>
    <t>Customer risk rating scoring matrix
Note: System should display Enterprise level details by default with an ability to toggle to Legal Entity details.  (The different level of reporting to be validated against the use case in CRR BRD overtime)</t>
  </si>
  <si>
    <t xml:space="preserve">
- Sort
- Risk Category
- Risk Element
- Scoring Method
    - Issuing
              - Individual
              - Entity
              - Intermediary
    - Acquiring
             - Merchant
- Sandbox
             - Weighting
             - Def. Mult.
- Max
              - Multiplier
              - Points
- Multiplier
- Rule</t>
  </si>
  <si>
    <t>R13</t>
  </si>
  <si>
    <t xml:space="preserve"> Fundamental Assessments / Centralized Lists / Notable Lists Changes</t>
  </si>
  <si>
    <t>Report to capture any changes in the  Fundamental Assessments / Centralized Lists / Notable Lists
This should be available at the following levels
- Enterprise
- Center/Market specific
- Product
- Legal Entity</t>
  </si>
  <si>
    <t xml:space="preserve">
- Value added
- Date &amp; Time
- User Details
- Event (Details of what happened)
- List Name</t>
  </si>
  <si>
    <t>R14</t>
  </si>
  <si>
    <t>Audit trail</t>
  </si>
  <si>
    <t>Audit trail for all changes in the risk points for a particular customer
Note: System should display Enterprise level details by default with an ability to toggle to Legal Entity details.  (The different level of reporting to be validated against the use case in CRR BRD overtime)</t>
  </si>
  <si>
    <t xml:space="preserve">
- User Name
- Time Stamp
- Status 
- Comments</t>
  </si>
  <si>
    <t>R15</t>
  </si>
  <si>
    <t>Implementation Tracker</t>
  </si>
  <si>
    <t>Report to track the implementation of changes</t>
  </si>
  <si>
    <t xml:space="preserve">
- Project Name
- Category
- Market
- CRR Request ID
- Elements/Rules
- Start Date
- Finish Date
- Implementation Date
- Duration (in days) [Implemntation Date - Finish Date]
- Event (Details of what happened)
- Status
- In Production</t>
  </si>
  <si>
    <t>R16</t>
  </si>
  <si>
    <t>CRR Raw Data Report</t>
  </si>
  <si>
    <t>Report to provide the raw data for CRR</t>
  </si>
  <si>
    <t xml:space="preserve">User should be able to pick and choose the data fields specified in the CRR Minimum Data Requirements BRD v2.0
</t>
  </si>
  <si>
    <t>R17</t>
  </si>
  <si>
    <t>CRR Data Quality Report</t>
  </si>
  <si>
    <t>Report that details out any breaks or issues noted in the processing of the CRR data. 
Criteria
 - Market
- Region
- Legal Entity
- Time period
- Product type
- Product Category</t>
  </si>
  <si>
    <t>1. Monthly
2. As required</t>
  </si>
  <si>
    <t xml:space="preserve">
- Attribute at SOR
- Volume Impacted
- Fill rates
- Valid Fill Rates
- Total Count
- Total Fill
- Total valid fill
- Criticality
- Sensitive Data Element
- Market
- Region
- Legal Entity
- Product type
- Product Category
- Time period</t>
  </si>
  <si>
    <t>Topic</t>
  </si>
  <si>
    <t>Business Requirement Document for Reporting &amp; Analytics capabilities in  GCIP Platform</t>
  </si>
  <si>
    <t>Introduction</t>
  </si>
  <si>
    <t>The vision of the GCIP is to provide Global Financial Crimes Compliance (GFCC) with an infrastructure that delivers the flexibility to transform business processes, provides consistency through a framework that supports GFCC risk events and conveys risks by market and product.
This document covers the  reporting &amp; analytics requirements for GCIP platform.  The requirements are categorized under 2 sub-topics:
1. Reports:  Raw details provided in an file (excel/ PDF etc.). There are 2 kind of reports: Batch and Self service reports
2. Dashboards: Personal based metrics customizable at a role level. There are 2 kind of dashboards: Operational &amp; Analytical</t>
  </si>
  <si>
    <t>Scope</t>
  </si>
  <si>
    <t>1. System level requirements for reports and dashboards
2. List of reports required along with the high-level field requirements
3. List of persona-based dashbaords along with metrics, field and view details</t>
  </si>
  <si>
    <t>Out-Of-Scope</t>
  </si>
  <si>
    <t xml:space="preserve">1. Report and dashboard design
2. Tools under which requirements will be built </t>
  </si>
  <si>
    <t>Assumption</t>
  </si>
  <si>
    <t>1. Actual GCIP field mapping to the requirements will be detailed by Product/ Technology and will be shared with Business for review and sign-off
2. Dashboard view will be designed based on the well suited format for each metrics by Product/ Technology</t>
  </si>
  <si>
    <t>Version</t>
  </si>
  <si>
    <t>Authors</t>
  </si>
  <si>
    <t>Reviewer</t>
  </si>
  <si>
    <t>Final Approval Date</t>
  </si>
  <si>
    <t>Approvers [Incl. Designation]</t>
  </si>
  <si>
    <t>Approval Evidence</t>
  </si>
  <si>
    <t>1.0</t>
  </si>
  <si>
    <t>1. System requirements for reports and dashboards for AML Investigations along with:
a. Requirements for below mentioned reports
     i. R1 - Triggered Risk Events
     ii. R2 - All Open &amp; Closed Alerts/ Cases
     iii. R3 - SAR Report with Location, Products &amp; LOBs
     iv. R4 - SAR Filing Status
      v. R5 - Audit Trail
b. Dashboard requirements for below mentioned personas
     i. Inventory Manager
     ii. FIU Investigator
     iii. People Leader</t>
  </si>
  <si>
    <t>Suyog Pitale
Shreyansh Kumar</t>
  </si>
  <si>
    <t>James Enright
Prateek Kapoor</t>
  </si>
  <si>
    <t>1. Tara J Frazier  [Director Compliance]
2. Casandra L Young [Director Compliance]
3. Sumana Swamy [VP- Compliance]
4. Vincent Gerard Heintz [SVP - GFCC Head]</t>
  </si>
  <si>
    <t>2.0</t>
  </si>
  <si>
    <t xml:space="preserve">a. Requirements for below mentioned reports
     i. R6 - Retention Schedule
     ii. R7 - Purge and Hold Record
    iii. R8 - User Access Details [For Profile Manager]
b. Dashboard requirements for below mentioned personas
     i. MCO Analyst
     ii. Executive
     iii. Reporting Team
      iv. Compliance Officer
</t>
  </si>
  <si>
    <r>
      <t xml:space="preserve">James Enright
Prateek Kapoor
</t>
    </r>
    <r>
      <rPr>
        <b/>
        <sz val="10"/>
        <color theme="1"/>
        <rFont val="Calibri"/>
        <family val="2"/>
      </rPr>
      <t>Executive Dashboard</t>
    </r>
    <r>
      <rPr>
        <sz val="10"/>
        <color theme="1"/>
        <rFont val="Calibri"/>
        <family val="2"/>
      </rPr>
      <t xml:space="preserve">
Matthew D. Connolly
Mano N Psihopedas 
</t>
    </r>
    <r>
      <rPr>
        <b/>
        <sz val="10"/>
        <color theme="1"/>
        <rFont val="Calibri"/>
        <family val="2"/>
      </rPr>
      <t>MCO Analyst Persona</t>
    </r>
    <r>
      <rPr>
        <sz val="10"/>
        <color theme="1"/>
        <rFont val="Calibri"/>
        <family val="2"/>
      </rPr>
      <t xml:space="preserve">
APAC, EMEA, LACC teams
</t>
    </r>
    <r>
      <rPr>
        <b/>
        <sz val="10"/>
        <color theme="1"/>
        <rFont val="Calibri"/>
        <family val="2"/>
      </rPr>
      <t>Profile Manager Persona</t>
    </r>
    <r>
      <rPr>
        <sz val="10"/>
        <color theme="1"/>
        <rFont val="Calibri"/>
        <family val="2"/>
      </rPr>
      <t xml:space="preserve">
Christopher A Bell 
Casandra L Young
</t>
    </r>
    <r>
      <rPr>
        <b/>
        <sz val="10"/>
        <color theme="1"/>
        <rFont val="Calibri"/>
        <family val="2"/>
      </rPr>
      <t xml:space="preserve">Reporting Team Persona
</t>
    </r>
    <r>
      <rPr>
        <sz val="10"/>
        <color theme="1"/>
        <rFont val="Calibri"/>
        <family val="2"/>
      </rPr>
      <t xml:space="preserve">Michelle Thompson, Adrianne Maniscalco, Emily Charlotte Taylor, Richard Matthew Mulder, Sanjam Ghai, Salla Maria Karvonen, Sarah Riesen 
</t>
    </r>
    <r>
      <rPr>
        <b/>
        <sz val="10"/>
        <color theme="1"/>
        <rFont val="Calibri"/>
        <family val="2"/>
      </rPr>
      <t>Compliance Officer Persona</t>
    </r>
    <r>
      <rPr>
        <sz val="10"/>
        <color theme="1"/>
        <rFont val="Calibri"/>
        <family val="2"/>
      </rPr>
      <t xml:space="preserve"> 
Harmeet Singh, Saraf Tasmiah Khan, Elle Low , Wendy M Ward, Emily Charlotte Taylor </t>
    </r>
  </si>
  <si>
    <t>1. Sumana Swamy [VP- Compliance]
2. Darin H. Jarret   [VP - Compliance]</t>
  </si>
  <si>
    <t>3.0</t>
  </si>
  <si>
    <t>a. CRR Requirements added under below mentioned reports
     i. R9 - Market level CRR Sanbox vs Production Comparison
     ii. R10 - Product-wise CRR Sanbox vs Production Comparison
    iii. R11 - All customers triggered for a risk element
    iv. R12 - CRR Scoring Matrix 
     v. R13 - Fundamental Assessments / Centralized Lists / Notable Lists
    vi. R14 - Audit trail
    vii. R15 - Implementation Tracker
    viii. R16 - CRR Raw Data Report
b. Dashboard requirements (DB43- DB55) related to CRR added under below mentioned personas
     i. Executive
     ii. Regional and Local Compliance Officer
c. Note added in PII in Requirement ID 8.1</t>
  </si>
  <si>
    <t xml:space="preserve">Tommy Colbert
James Enright
Prateek Kapoor
Shubham Gajbhe
Kanchan Pant
Saumya Jain
Saksham Gupta
Lalith Pulikanti 
Jacob W Young </t>
  </si>
  <si>
    <t>Reporting &amp; Analytics</t>
  </si>
  <si>
    <t>Legend:</t>
  </si>
  <si>
    <t>New Requirements</t>
  </si>
  <si>
    <t>Changes to Existing</t>
  </si>
  <si>
    <t>Capability</t>
  </si>
  <si>
    <t>BRD Req ID</t>
  </si>
  <si>
    <t>Business Requirement</t>
  </si>
  <si>
    <t xml:space="preserve"> Additional Details</t>
  </si>
  <si>
    <t>BRD Notes</t>
  </si>
  <si>
    <t>Purpose</t>
  </si>
  <si>
    <t>Outcome</t>
  </si>
  <si>
    <t>PK Notes</t>
  </si>
  <si>
    <t>Business Comments</t>
  </si>
  <si>
    <t>MVP</t>
  </si>
  <si>
    <t>Release</t>
  </si>
  <si>
    <t>Reports</t>
  </si>
  <si>
    <t>System must support different types of reporting capabilities</t>
  </si>
  <si>
    <r>
      <rPr>
        <sz val="10"/>
        <rFont val="Calibri"/>
        <family val="2"/>
      </rPr>
      <t xml:space="preserve">
- System should support following reporting capabilities
1. Scheduled/ Batch reports: These reports are to be generated by system automatically based on certain frequency
2.  Self-service reports: These reports can be generated by user in pre-defined format with customization i.e. addition of any field, allow criteria selection
</t>
    </r>
    <r>
      <rPr>
        <b/>
        <sz val="10"/>
        <color rgb="FF2F75B5"/>
        <rFont val="Calibri"/>
        <family val="2"/>
      </rPr>
      <t xml:space="preserve">
Note: Reporting tool should be able to display the data (including PII information) in any  format (String, Integer or any other format) which is captured in the Database</t>
    </r>
  </si>
  <si>
    <t>Different types of reports to cater to business &amp; regulatory needs</t>
  </si>
  <si>
    <t>Teams can receive or generate the report as required</t>
  </si>
  <si>
    <r>
      <t xml:space="preserve">Should we add how and where we want these reports (platform), or let this be an outcome of PRD? 
</t>
    </r>
    <r>
      <rPr>
        <sz val="10"/>
        <color rgb="FF00B050"/>
        <rFont val="Calibri"/>
        <family val="2"/>
      </rPr>
      <t>This needs to be decided with Product</t>
    </r>
  </si>
  <si>
    <t>Batch Reports</t>
  </si>
  <si>
    <t>8.1.1</t>
  </si>
  <si>
    <t xml:space="preserve">System must provide ability to generate batch reports </t>
  </si>
  <si>
    <t xml:space="preserve">
- System should allow to generate reports for various frequency i.e. daily/ weekly/ fortnightly/ monthly/ quarterly/ half yearly/ annual
-System should store the reports in a common folder and/or send email to the users who have subscribed to the report. Access to reports should be based on specific role or entitlement
- System should have the ability to display the latest batch report generated in the frontend and user should be able to open the report through the frontend
- System should have provision to show in case the last batch report generation failed. System should display the last generated report with a flag indicating that its not the latest report
- System should have a provision to report the failed batch reports to product/ technology team
- System should have functionality to re-generate the failed batch reports
- System should generate the report in Excel format
</t>
  </si>
  <si>
    <t xml:space="preserve">Batch reports will help respective teams to get the required data in predefined format and frequency </t>
  </si>
  <si>
    <t xml:space="preserve">Reports available to user for set functionality and reporting </t>
  </si>
  <si>
    <r>
      <t xml:space="preserve">a) Should we also have report displayed on the reporting platform as an option in addition to excel format report? 
</t>
    </r>
    <r>
      <rPr>
        <sz val="10"/>
        <color rgb="FF00B050"/>
        <rFont val="Calibri"/>
        <family val="2"/>
      </rPr>
      <t>Added</t>
    </r>
    <r>
      <rPr>
        <sz val="10"/>
        <color theme="1"/>
        <rFont val="Calibri"/>
        <family val="2"/>
      </rPr>
      <t xml:space="preserve">
b) which user group will be able to see the status of the report? Is it restricted to tech/product or business users can also see the information?
</t>
    </r>
    <r>
      <rPr>
        <sz val="10"/>
        <color rgb="FF00B050"/>
        <rFont val="Calibri"/>
        <family val="2"/>
      </rPr>
      <t>Added</t>
    </r>
  </si>
  <si>
    <t xml:space="preserve">Self-service reports </t>
  </si>
  <si>
    <t>8.1.2</t>
  </si>
  <si>
    <t xml:space="preserve">System must provide ability to generate  Self-service reports </t>
  </si>
  <si>
    <t xml:space="preserve">
- System should provide a user interface for users to generate Self-service reports
- System should provide the report with default fields with an option to add/ delete specific data elements (based on user role permissions)
- System should allow user to drag and drop the available data elements into the reports real-time
- System should provide user interface to select conditions for data elements including but not limited to  Greater than, Less than, equal to, date range etc.
- System should allow user to save the template for customized reports for future use
- System should allow user to save multiple templates
- System should allow user to make templates available for use by self or by group
- System should allow for a provision to display the data in the screen 
- System should allow for user to filter or sort the data based on Single or Multiple columns
- System should allow user to modify the sort order
- System should allow users to download the reports in Excel and PDF format
- System should allow users to share the report over email or save in a folder
- System should provide real-time or near-time real time data
</t>
  </si>
  <si>
    <t>User will be able to modify the report on real-time and will be able to generate the report on near real-time data</t>
  </si>
  <si>
    <t>User is able to generate the report as per convenience</t>
  </si>
  <si>
    <r>
      <t xml:space="preserve">will specific variables/reports be part of individual report requirements?
</t>
    </r>
    <r>
      <rPr>
        <sz val="10"/>
        <color rgb="FF00B050"/>
        <rFont val="Calibri"/>
        <family val="2"/>
      </rPr>
      <t>The reports along with fields will be added in this excel after finalization</t>
    </r>
  </si>
  <si>
    <t>File format</t>
  </si>
  <si>
    <t>8.1.3</t>
  </si>
  <si>
    <t>System must provide ability to generate reports in a certain File Format</t>
  </si>
  <si>
    <t xml:space="preserve">
-  File Name and Header of the report should include the key parameters used for creating the report
-  Market
-  Report Type (Batch/ Self-service)
 - Function (INV, EDD etc.)
 - Sub-Function  (Alerts, Cases, Hibernated Risk Events etc.)
 - Date Range/ Frequency
 - Report generate date 
 - Report Trigger  (User/ System)
</t>
  </si>
  <si>
    <t>Single format for reporting  in the platform</t>
  </si>
  <si>
    <t>Easy tracing of reports</t>
  </si>
  <si>
    <t>Reports Access</t>
  </si>
  <si>
    <t>8.1.4</t>
  </si>
  <si>
    <t>System should have ability for certain users to have access of the reports</t>
  </si>
  <si>
    <t xml:space="preserve">
- System should allow role specific access to reports
- System should allow to configure email group where report will be sent
- Only appropriate users should have access to editable version (Excel, CSV) format of the report.  
- All other users with permission should have access to download the PDF version for review</t>
  </si>
  <si>
    <t>Roles well-defined  for users to have access to specific reports</t>
  </si>
  <si>
    <t>Control on access to reports</t>
  </si>
  <si>
    <t>Records in a report</t>
  </si>
  <si>
    <t>8.1.5</t>
  </si>
  <si>
    <t xml:space="preserve">System should have ability to generate reports  with limited records </t>
  </si>
  <si>
    <t xml:space="preserve">
- System should be able to generate the report in excel or CSV format based on the number of records
</t>
  </si>
  <si>
    <t>Defined number of records in a sheet</t>
  </si>
  <si>
    <t>No spillover of records</t>
  </si>
  <si>
    <t>Dashboard</t>
  </si>
  <si>
    <t>System should have ability to display persona based dashboards</t>
  </si>
  <si>
    <t xml:space="preserve">
- System should provide interactive UI/ UX for users to view the dashboards
- There should be provision for system to display both Operational and Analytical dashboards. 
- Operational dashboards to provide real-time data and these dashbaords should be displayed as part of the case management/ inventory management portal
- Analytical dashboard should provide trends based on near real-time data and there should be UI/ UX for the same
- System should have ability to display different dashboard metrics based on personas
- System should allow 3 stages
 of view under each metrics:
a. Summary view (Graph-based, Calendar View etc.)
b. Selected Criteria View
c. Specific Detailed view for performing required actions
- System should allow multiple personas (and the dashboards) to be attached to a single user based on roles
- System should have ability to reuse the metrics across different personas, as per the requirement
- System should have consistent view in terms for fonts, color etc. across the dashboards</t>
  </si>
  <si>
    <t>Different types of dashboards to cater to persona based needs</t>
  </si>
  <si>
    <t>Focused view based on the persona</t>
  </si>
  <si>
    <r>
      <t xml:space="preserve">Will personal based details be part of specific dashboard requirements?
</t>
    </r>
    <r>
      <rPr>
        <sz val="10"/>
        <color rgb="FF00B050"/>
        <rFont val="Calibri"/>
        <family val="2"/>
      </rPr>
      <t>Yes</t>
    </r>
  </si>
  <si>
    <t xml:space="preserve">Dashboard - Summary Graph-based view </t>
  </si>
  <si>
    <t>8.2.1</t>
  </si>
  <si>
    <t>System should provide summary view</t>
  </si>
  <si>
    <t xml:space="preserve">
- System should provide graph based, calendar view etc. based on the different metrics
- System should have option to have multiple criteria in a single metrics
- System should be able to display the dashboard/ metrics in the home screen of the users based on the persona
- System should have ability to click on the criteria in the view which should provide detailed list of alerts, cases, risk events etc.
- System should allow users to change the criteria on real-time basis to get the relevant information
- System should allow user to download the summary view in excel or presentation or PDF mode </t>
  </si>
  <si>
    <t xml:space="preserve"> Visuals based on the metrics to provide a high level view on the inventory, alert, case etc.</t>
  </si>
  <si>
    <t>User is able to view metrics based visuals and is able to take appropriate actions thereafter</t>
  </si>
  <si>
    <t>Selected Criteria View</t>
  </si>
  <si>
    <t>8.2.2</t>
  </si>
  <si>
    <t>System should provide Selected Criteria View</t>
  </si>
  <si>
    <t xml:space="preserve">
- System should allow user to download the list as displayed on the screen in Excel or PDF format
- System should provide hyperlink on the primary field (Example: Matter ID, Risk Event ID etc.) for users to view  the detailed list
- System should have provision to display multiple rows/ pages with default 20 rows (configurable) in a single page
- System should allow user to navigate through different pages
- System should allow sorting and filtering on the fields
- System should allow user to move the fields within the table
- System should allow user to search for a particular alert, case, risk event etc. in the view
- System should allow user to perform multiple selections in the records displayed</t>
  </si>
  <si>
    <t>Provide a detailed list based on criteria selected which can be downloaded</t>
  </si>
  <si>
    <t>User is able to view list of alert, cases etc. based on criteria in a single view</t>
  </si>
  <si>
    <t>Specific Detailed View</t>
  </si>
  <si>
    <t>8.2.3</t>
  </si>
  <si>
    <t>System should provide Specific Detailed View</t>
  </si>
  <si>
    <t xml:space="preserve">
- System should allow user to view the detailed view for an alert, case etc. to perform necessary actions as per the case management, inventory management etc. workflow requirements</t>
  </si>
  <si>
    <t>Case management functionality can be triggered through the dashboards</t>
  </si>
  <si>
    <t>Seamless user experience</t>
  </si>
  <si>
    <t>Note:</t>
  </si>
  <si>
    <t>1. The functionality related to each of the report and dashboard will be covered/ detailed under respective functional/ workflow BRD
2. Each of the requirements to be built along with respective functionality
3. This BRD will be evolving as per the functionalities getting added in the project</t>
  </si>
  <si>
    <t>Done in tableau</t>
  </si>
  <si>
    <t>done in tableau</t>
  </si>
  <si>
    <t>Role</t>
  </si>
  <si>
    <t>Type of Dashboard</t>
  </si>
  <si>
    <t>Metrics</t>
  </si>
  <si>
    <t xml:space="preserve">Summary Graph-based view </t>
  </si>
  <si>
    <t>Specific view for performing required  actions</t>
  </si>
  <si>
    <t>Inventory Manager</t>
  </si>
  <si>
    <t>View the information in home page to gain a holistic picture of inventory
Select criteria(s) for focused view to carry out necessary actions</t>
  </si>
  <si>
    <t>Operational</t>
  </si>
  <si>
    <t>DB1</t>
  </si>
  <si>
    <t>Risk Event Details</t>
  </si>
  <si>
    <t>Risk events volume based on  following criteria  or multiple criteria:
- Input Type
- Market
- Region
- Customer
- Hibernation Flag</t>
  </si>
  <si>
    <t>List of all the risk events based on the selected criteria</t>
  </si>
  <si>
    <t xml:space="preserve">
- Input ID
- Input Type
- Legal Entity
- Risk Event ID
- Product Type           
- Customer ID
- Market
- Region
- Source Creation Date
- Risk Score
- Status
- Hibernation Flag
- Closed Date
- Promoted date 
- Aging of risk events (between source creation date and Closed Date/ Promotion date)
- Linked Alert/ Case details     
- Linking Date</t>
  </si>
  <si>
    <t>Perform functionality as per inventory management workflow</t>
  </si>
  <si>
    <t>DB2</t>
  </si>
  <si>
    <t>Hibernated Risk Events</t>
  </si>
  <si>
    <t>Risk event volume based on following criteria  or multiple criteria:
- Input type
- Region
- Market 
- Product type
- Aging of risk events  (0-30 days, 30- 60 days, 60-90 days)</t>
  </si>
  <si>
    <t xml:space="preserve">
- Input ID
- Input Type
- Legal Entity
- Risk Event ID
- Product Type           
- Customer ID
- Market
- Region
- Source Creation Date
- Risk Score
- Aging of risk events in Hibernation queue</t>
  </si>
  <si>
    <t>DB3</t>
  </si>
  <si>
    <t>Alerts Details</t>
  </si>
  <si>
    <t>Alert volume based on  following criteria  or multiple criteria:
- Input Type
- Market
- Region
- Product type
- Customer
- Aging
- Due date
- Alert Status
- Assignment Details (Assigned/ Unassigned)
- Current Investigator
- Business Unit
- Stage of Review (Decision Level)</t>
  </si>
  <si>
    <t>List of all the alerts based on the selected criteria</t>
  </si>
  <si>
    <t xml:space="preserve">
- Matter ID
- Alert Create date
- Input ID
- Input Name
- Input type
- Customer ID
- Product type
- Legal Entity
- Line of Business
- Market
- Region
-  Assignment Status (Assigned/ Unassigned)
- Assign date
- Alert Status
- End to end Aging
- Reviewer Name
- Reviewer team
- Reviewer Location
- Closed Date
- PDS/RCA Aging 
- Input Weight</t>
  </si>
  <si>
    <t>DB4</t>
  </si>
  <si>
    <t>Case Details</t>
  </si>
  <si>
    <t>Case volume based on  following criteria  or multiple criteria:
- Input Type
- Market
- Region
- Product type
- Customer
- Aging
- Due date
- Case Status
- Assignment Details (Assigned/ Unassigned)
- Current Investigator
- Business Unit
- Stage of Review (Decision Level)</t>
  </si>
  <si>
    <t>List of all the cases based on the selected criteria</t>
  </si>
  <si>
    <t xml:space="preserve">
- Matter ID
- Case Create date
- Input ID
- Input Name
- Input type
- Product type
- Legal Entity
- Line of Business
- Market
- Region
-  Assignment Status (Assigned/ Unassigned)
- Assign date
- Case Status
- End to end Aging
- Reviewer Name
- Reviewer Team
- Reviewer Location
- Closed Date
- PDS/RCA Aging 
- Input Weight</t>
  </si>
  <si>
    <t>DB5</t>
  </si>
  <si>
    <t>Inventory Management</t>
  </si>
  <si>
    <t>Number of Investigators with bifurcation based on  following criteria or multiple criteria:
- Market
- Region
- Investigator availability
- Investigator permissions</t>
  </si>
  <si>
    <t>List of all the investigators based on the selected criteria</t>
  </si>
  <si>
    <t xml:space="preserve">
- Employee ID
- Employee Name
- Team Name
- Market
- Region
- Investigator availability status
- Investigator permissions
- Alerts/ Cases assigned
- Work effort Hours/ case goals
- Training Focus</t>
  </si>
  <si>
    <t>Analytical</t>
  </si>
  <si>
    <t>DB6</t>
  </si>
  <si>
    <t>Inventory Forecasting (To be revisited once requirements are firmed up)</t>
  </si>
  <si>
    <t>Providing  inventory forecast based on the below criteria or multiple criteria:  
- Market
- Region
- Risk events
- Product types
- Timeframe
- Forecasted Analyze Volumes (alerts/cases)
- Forecasted Action Volumes (SARs, Market Escalation, NFIR)
- Forecasted Hibernated event promotions
- Input ID
- Forecasted Headcount
- Investigator availability
- Legal Entity</t>
  </si>
  <si>
    <t>Breakdown of alerts/ cases/ risk events based on the criteria</t>
  </si>
  <si>
    <t xml:space="preserve">
- Market
- Region
- Risk events
- Product types
- Timeframe
- Forecasted Analyze Volumes (alerts/cases)
- Forecasted Action Volumes (SARs, Market Escalation, NFIR)
- Forecasted Hibernated event promotions
- Input ID
- Forecasted Headcount
- Actual Investigator availability
- Legal Entity</t>
  </si>
  <si>
    <t>-</t>
  </si>
  <si>
    <t>FIU Investigator</t>
  </si>
  <si>
    <t>View the information in home page to gain a holistic picture of the alerts/ cases assigned along with performance metrics for the investigator
Select criteria(s) for focused view to carry out necessary actions</t>
  </si>
  <si>
    <t>DB7</t>
  </si>
  <si>
    <t>WIP Alert/ Case Details</t>
  </si>
  <si>
    <t>Volume of in-progress/ Pend Alerts or Cases by investigator based on  following criteria:
- Input Type
- Market
- Region
- Product type
- Customer
- Aging
- Due date
- Review for Continuing Activity
- Complexity 
- Aging goal
- Ability to Close (ATC) for Input/ Product</t>
  </si>
  <si>
    <t>List of all the alerts/ cases based on the selected criteria</t>
  </si>
  <si>
    <t xml:space="preserve">
- Matter ID
- Alert/ Case Create date
- Input ID
- Input Name
- Input type
- Product type
- Legal Entity
- Line of Business
- Market
- Region
- Customer ID
- Customer Name
- Aging
- Due date
- Review for Continuing Activity
- Complexity 
- Aging goal
- Ability to Close (ATC) for Input/ Product</t>
  </si>
  <si>
    <t>Perform functionality as per case management workflow</t>
  </si>
  <si>
    <t>DB8</t>
  </si>
  <si>
    <t>Closed Alert/ Case Details</t>
  </si>
  <si>
    <t>Volume of closed Alerts or Cases in last 7 days (by default and should be configurable) by investigator based on  following criteria:
- Input Type
- Market
- Region
- Product type
- Customer
- Aging
- Due date
- Decision</t>
  </si>
  <si>
    <t xml:space="preserve">
- Matter ID
- Alert/ Case Create date
- Input ID
- Input Name
- Input type
- Product type
- Legal Entity
- Line of Business
- Market
- Region
- Customer ID
- Customer Name
- Aging
- Due date
- Review for Continuing Activity
- Complexity 
- Decision
- Closed Date</t>
  </si>
  <si>
    <t>DB9</t>
  </si>
  <si>
    <t>Investigator's availability status</t>
  </si>
  <si>
    <t>Calendar View: Availability status of the investigator along with number of alerts/ cases coming due on each day</t>
  </si>
  <si>
    <t>1. List of the past and current PTO
2. List of alerts/ cases coming due on a particular day</t>
  </si>
  <si>
    <t xml:space="preserve">
- Past &amp; Current PTO
- Matter ID
- Alert/ Case Create Date
-  Due Date
- Aging</t>
  </si>
  <si>
    <t>DB10</t>
  </si>
  <si>
    <t xml:space="preserve">Number of risk events linked or delinked by the investigator </t>
  </si>
  <si>
    <t xml:space="preserve">
- Input ID
- Input Type
- Legal Entity
- Risk Event ID
- Product Type           
- Customer details
- Market
- Region
- Source Creation Date
- Risk Score
- Linked Matter ID    
- Linking/ Delinking Date
- Linking/ Delinking Reason</t>
  </si>
  <si>
    <t>DB11</t>
  </si>
  <si>
    <t>Quality Check rejections</t>
  </si>
  <si>
    <t>Percentage of alerts/ cases which were rejected during QC</t>
  </si>
  <si>
    <t>List of all the rejected alerts/ cases</t>
  </si>
  <si>
    <t xml:space="preserve">
- Matter ID
- Alert/ Case Create date
- Input ID
- Input Name
- Input type
- Product type
- Legal Entity
- Line of Business
- Market
- Region
- Customer ID
- Customer Name
- Aging
- Due date
- Review for Continuing Activity
- Complexity 
- Decision
- Initial Closed Date
- QC rejection reason
- Rework Status</t>
  </si>
  <si>
    <t>DB12</t>
  </si>
  <si>
    <t>Quality Assurance rejections</t>
  </si>
  <si>
    <t>Percentage of alerts/ cases which were failed during QA</t>
  </si>
  <si>
    <t>List of all the failed alerts/ cases</t>
  </si>
  <si>
    <t xml:space="preserve">
- Matter ID
- Alert/ Case Create date
- Input ID
- Input Name
- Input type
- Product type
- Legal Entity
- Line of Business
- Market
- Region
- Customer ID
- Customer Name
- Aging
- Due date
- Review for Continuing Activity
- Complexity 
- Decision
- Initial Closed Date
- QA failure reason
- Rework Status</t>
  </si>
  <si>
    <t>DB13</t>
  </si>
  <si>
    <t>SLA adherence</t>
  </si>
  <si>
    <t xml:space="preserve">Percentage of SLA adherence by the investigator </t>
  </si>
  <si>
    <t>List of alerts/ cases for which SLA was breeched</t>
  </si>
  <si>
    <t xml:space="preserve">
- Matter ID
- Alert/ Case Create date
- Input ID
- Input Name
- Input type
- Product type
- Legal Entity
- Line of Business
- Market
- Region
- Customer ID
- Customer Name
- Review for Continuing Activity
- Complexity 
- SLA Breech (In days)
- Total Aging
- Due date</t>
  </si>
  <si>
    <t>People Leader</t>
  </si>
  <si>
    <t>View the information in home page to gain a holistic picture of the alerts/ cases assigned to the investigators along with their performance metrics
Select criteria(s) for focused view to carry out necessary actions</t>
  </si>
  <si>
    <t>DB14</t>
  </si>
  <si>
    <t>Open Unassigned Alert/ Case Details</t>
  </si>
  <si>
    <t>Volume of Unassigned open Alerts/ Cases based on  following criteria:
- Input Type
- Market
- Region
- Product type
- Customer
- Aging
- Due date
- Review for Continuing Activity
- Aging goal</t>
  </si>
  <si>
    <t xml:space="preserve">
- Matter ID
- Alert/ Case Create date
- Input ID
- Input Name
- Input type
- Product type
- Legal Entity
- Line of Business
- Market
- Region
- Customer ID
- Customer Name
- Aging
- Due date
- Review for Continuing Activity
- Complexity 
- Aging goal</t>
  </si>
  <si>
    <t>DB15</t>
  </si>
  <si>
    <t>Volume of in-progress/ Pend Alerts or Cases based on  following criteria:
- Input Type
- Market
- Region
- Product type
- Customer
- Aging
- Due date
- Review for Continuing Activity
- Complexity
- Aging goal
- Investigator
- Stage of Review (Decision Level)</t>
  </si>
  <si>
    <t xml:space="preserve">
- Matter ID
- Alert/ Case Create date
- Input ID
- Input Name
- Input type
- Product type
- Legal Entity
- Line of Business
- Market
- Region
- Customer ID
- Aging
- Due date
- Review for Continuing Activity
- Complexity 
- Aging goal
- Alert/ Case Status
- Ability to Close (ATC) for Input/ Product
- Investigator Name</t>
  </si>
  <si>
    <t>DB16</t>
  </si>
  <si>
    <t>Volume of closed Alerts or Cases in last 7 days (by default and should be configurable) based on  following criteria:
- Input Type
- Market
- Region
- Product type
- Customer
- Aging
- Due date
- Decision
- Investigator</t>
  </si>
  <si>
    <t xml:space="preserve">
- Matter ID
- Alert/ Case Create date
- Input ID
- Input Name
- Input type
- Product type
- Legal Entity
- Line of Business
- Market
- Region
- Customer ID
- Due date
- Closed Date
- Review for Continuing Activity
- Complexity
- Decision
- Investigator details Name</t>
  </si>
  <si>
    <t>DB17</t>
  </si>
  <si>
    <t>Availability status</t>
  </si>
  <si>
    <t>Availability of the investigators within People leaders team along with alerts/ cases coming due.
This will also display the investigators by their Band level</t>
  </si>
  <si>
    <t>1. List of investigators with the availability status
2. List of alerts/ cases coming due on a particular day for a investigator</t>
  </si>
  <si>
    <t xml:space="preserve">
- PTO / Availability status
- Investigator Name
- Matter ID
- Alert/ Case Create Date
-  Due Date
- Aging
</t>
  </si>
  <si>
    <t>Perform functionality as per case/ investigation management workflow</t>
  </si>
  <si>
    <t>DB18</t>
  </si>
  <si>
    <t xml:space="preserve">Number of risk events linked or delinked by the investigators </t>
  </si>
  <si>
    <t>List of all the risk events based on the selected criteria along with the alert/ case and investigator details</t>
  </si>
  <si>
    <t xml:space="preserve">
- Input ID
- Input Type
- Legal Entity
- Risk Event ID
- Product Type           
- Customer ID
- Market
- Region
- Source Creation Date
- Risk Score
- Investigator Name
- Linked Matter ID    
- Linking/ Delinking Date
- Linking/ Delinking Reason</t>
  </si>
  <si>
    <t>DB19</t>
  </si>
  <si>
    <t>Percentage of alerts/ cases which were rejected during QC along with re-work progress</t>
  </si>
  <si>
    <t>List of all the rejected alerts/ cases along with rework details</t>
  </si>
  <si>
    <t xml:space="preserve">
- Matter ID
- Alert/ Case Create date
- Input ID
- Input Name
- Input type
- Product type
- Legal Entity
- Line of Business
- Market
- Region
- Customer ID
- Customer Name
- Aging
- Due date
- Review for Continuing Activity
- Complexity 
- Decision
- Initial Closed Date
- QC rejection reason
- Rework Status
- Investigator Name</t>
  </si>
  <si>
    <t>DB20</t>
  </si>
  <si>
    <t>Quality Assurance failures</t>
  </si>
  <si>
    <t>Percentage of alerts/ cases which were  failed during QA along with re-work progress</t>
  </si>
  <si>
    <t>List of all the failed alerts/ cases along with rework details</t>
  </si>
  <si>
    <t xml:space="preserve">
- Matter ID
- Alert/ Case Create date
- Input ID
- Input Name
- Input type
- Product type
- Legal Entity
- Line of Business
- Market
- Region
- Customer ID
- Customer Name
- Aging
- Due date
- Review for Continuing Activity
- Complexity 
- Decision
- Initial Closed Date
- QA failure reason
- Rework Status
- Investigator Name</t>
  </si>
  <si>
    <t>DB21</t>
  </si>
  <si>
    <t>Percentage of SLA adherence by the investigators</t>
  </si>
  <si>
    <t xml:space="preserve">
- Matter ID
- Alert/ Case Create date
- Input ID
- Input Name
- Input type
- Product type
- Legal Entity
- Line of Business
- Market
- Region
- Customer ID
- Customer Name
- Review for Continuing Activity
- Complexity 
- SLA Breech (In days)
- Total Aging
- Due date
- Investigator details Name</t>
  </si>
  <si>
    <t>DB22</t>
  </si>
  <si>
    <t>User Roles</t>
  </si>
  <si>
    <t xml:space="preserve">Number of Investigators with the roles (Approved to Close, Only Review etc.)
</t>
  </si>
  <si>
    <t>List of investigators under each role</t>
  </si>
  <si>
    <t xml:space="preserve">
- Investigator details (ID/ Name)
- Current User role (Approve to close etc.)
- Past User role
</t>
  </si>
  <si>
    <t>Additional metrics - DB2</t>
  </si>
  <si>
    <t>MCO Analyst</t>
  </si>
  <si>
    <t>View the information in home page to gain a holistic picture of the cases assigned along with performance metrics for the MCO Analyst
Select criteria(s) for focused view to carry out necessary actions</t>
  </si>
  <si>
    <t>DB23</t>
  </si>
  <si>
    <t>WIP Case Details</t>
  </si>
  <si>
    <t>Volume of in-progress/ Pend Cases by MCO Analyst based on  following criteria:
- Input Type
- Market
- Region
- Product type
- Customer
-  Total Aging
- Aging (Escalated to Market)
- Due date
- Complexity
- Current Status ( In Review/ Not in Review)</t>
  </si>
  <si>
    <t xml:space="preserve">
- Matter ID
- Case Create date
- Input ID
- Input Name
- Input type
- Product type
- Legal Entity
- Line of Business
- Market
- Region
- Customer ID
- Customer Name
- Aging
- Due date
- Review for Continuing Activity
- Complexity 
- Aging goal
- Ability to Close (ATC) for Input/ Product</t>
  </si>
  <si>
    <t>DB24</t>
  </si>
  <si>
    <t>Closed Case Details</t>
  </si>
  <si>
    <t>Volume of closed Cases in last 7 days (by default and should be configurable) by MCO Analyst based on  following criteria:
- Input Type
- Market
- Region
- Product type
- Customer
- Aging
- Due date
- SAR Status
- Complexity</t>
  </si>
  <si>
    <t xml:space="preserve">
- Matter ID
- Case Create date
- Input ID
- Input Name
- Input type
- Product type
- Legal Entity
- Line of Business
- Market
- Region
- Customer ID
- Customer Name
- Aging
- Due date
- Review for Continuing Activity
- Complexity 
- Decision
- Closed Date
- SAR FIled
- SAR Filed Date</t>
  </si>
  <si>
    <t>DB25</t>
  </si>
  <si>
    <t>Percentage of cases which were rejected during QC</t>
  </si>
  <si>
    <t>List of all the rejected  cases</t>
  </si>
  <si>
    <t xml:space="preserve">
- Matter ID
- Case Create date
- Input ID
- Input Name
- Input type
- Product type
- Legal Entity
- Line of Business
- Market
- Region
- Customer ID
- Customer Name
- Aging
- Due date
- Review for Continuing Activity
- Complexity 
- Decision
- Initial Closed Date
- QC rejection reason
- Rework Status</t>
  </si>
  <si>
    <t>DB26</t>
  </si>
  <si>
    <t>Percentage of cases which were failures during QA</t>
  </si>
  <si>
    <t>List of all the failure cases</t>
  </si>
  <si>
    <t xml:space="preserve">
- Matter ID
- Case Create date
- Input ID
- Input Name
- Input type
- Product type
- Legal Entity
- Line of Business
- Market
- Region
- Customer ID
- Customer Name
- Aging
- Due date
- Review for Continuing Activity
- Complexity 
- Decision
- Initial Closed Date
- QA failure reason
- Rework Status</t>
  </si>
  <si>
    <t>DB27</t>
  </si>
  <si>
    <t xml:space="preserve">SLA adherence </t>
  </si>
  <si>
    <t>Percentage of SLA adherence by the MCO Analyst based on following
- Case closure
- SAR filing</t>
  </si>
  <si>
    <t>List of cases for which SLA was breeched</t>
  </si>
  <si>
    <t xml:space="preserve">
- Matter ID
- Case Create date
- Input ID
- Input Name
- Input type
- Product type
- Legal Entity
- Line of Business
- Market
- Region
- Customer ID
- Customer Name
- Review for Continuing Activity
- Complexity 
- SLA Breech (In days)
- Total Aging
- Due date</t>
  </si>
  <si>
    <t>DB28</t>
  </si>
  <si>
    <t>SAR Details</t>
  </si>
  <si>
    <t>Number of SARs filed based on following:
- Date range
- Customer
-  Product
- Input ID
- Filing Status
- Legal Entity</t>
  </si>
  <si>
    <t>List of SARs based on the criteria</t>
  </si>
  <si>
    <t xml:space="preserve">
- Matter ID
- Case Create date
- Input ID
- Input Name
- Input type
- Product type
- Legal Entity
- Line of Business
- Market
- Region
- Customer ID
- Customer Name
- Aging
- Due date
- Review for Continuing Activity
- Closed Date
- Status
- Batch submission date
- Rejection Reason
- SAR File Date
- SAR file type
- End to end Aging
- Amount Involved
- Suspicious Activity Amount
- RCA Scheduled date</t>
  </si>
  <si>
    <t>DB29</t>
  </si>
  <si>
    <t xml:space="preserve">Availability of the analyst along with alerts/ cases coming due.
</t>
  </si>
  <si>
    <t>List of cases coming due on a particular day for a analyst</t>
  </si>
  <si>
    <t xml:space="preserve">
- PTO / Availability status
- Matter ID
- Alert/ Case Create Date
-  Due Date
- Aging
</t>
  </si>
  <si>
    <t>DB30</t>
  </si>
  <si>
    <t>FIU Inventory View</t>
  </si>
  <si>
    <t>View of the FIU inventory for work in progress alerts
Default view coming due in next 30 days
- Market
- Region
- Input type</t>
  </si>
  <si>
    <t>List of the alerts which are coming due as per the SLA</t>
  </si>
  <si>
    <t xml:space="preserve">
- Matter ID
- Alert Create date
- Input ID
- Input Name
- Input type
- Customer ID
- Product type
- Legal Entity
- Line of Business
- Market
- Region
- Assign date
- Alert Status
- End to end Aging
- Aging goal
- FIU Hub</t>
  </si>
  <si>
    <t>Executive</t>
  </si>
  <si>
    <t>Insights on the performance at global/ regional/ market level
Take appropriate actions</t>
  </si>
  <si>
    <t>DB31</t>
  </si>
  <si>
    <t>Resourcing Trends</t>
  </si>
  <si>
    <t>Region based monthly view of the shortfall and hiring recommendation for resources for FIU Team based on following criteria:
- Region
- Market
- Timeframe for shortfall and hiring recommendation
- Legal Entity</t>
  </si>
  <si>
    <t>Graph based view (Market-level) on the resourcing  past trend and future forecast based on the selected criteria</t>
  </si>
  <si>
    <t>DB32</t>
  </si>
  <si>
    <t>SAR Trends</t>
  </si>
  <si>
    <t>Region based monthly view of the number of SARs in past and forecast based on following metrics:
- SAR Filing (Past &amp; Forecast)
- SAR Rate (Total SAR filed/ Total Alert Closure)
- Rejections (Past)
- Regulatory Inquiry (Past)
Criteria
- Region
- Market
- Product Type
- Input Name
- Input ID
- Line of business
- Timeframe for past and forecast
- Legal Entity
Past data for 6 months by default with extension upto 2 Years. Forecasting upto 3 months</t>
  </si>
  <si>
    <t>View on the SAR filing past trend and future forecast (as applicable) based on the selected criteria and metrics</t>
  </si>
  <si>
    <t>DB33</t>
  </si>
  <si>
    <t>Inventory Trend</t>
  </si>
  <si>
    <t>Region based monthly view of the alert/ case past trend &amp; forecast based on following  metrics:
- Alerts 
  - Open
  - Closed
- Cases
  - Open
  - Closed
Criteria:
- Timeframe
- Market
- Region
- Line of Business
- Product Type
- Legal Entity
- Input Name
- Input ID
Past data for 6 months by default with extension upto 2 Years. Forecasting upto 3 months</t>
  </si>
  <si>
    <t>View on the past trends and future forecast (as applicable) based on the selected criteria and metrics</t>
  </si>
  <si>
    <t>6.1.1</t>
  </si>
  <si>
    <t>DB34</t>
  </si>
  <si>
    <t>Trend on SLA, Effectiveness and Disposition time</t>
  </si>
  <si>
    <t>Region based monthly view of alerts/ cases past trend based on following metrics:
- SLA breach
- SAR Rate (Total SAR filed/ Total Alert Closure)
- Effectiveness [Quality Score (QC + QA)]
- Disposition time
Criteria:
- Timeframe
- Market
- Region
- Line of Business
- Product Type
- Legal Entity
- Input Name
- Input ID
Past data for 6 months by default with extension upto 2 Years. Forecasting upto 3 months</t>
  </si>
  <si>
    <t>DB35</t>
  </si>
  <si>
    <t>Current Inventory View</t>
  </si>
  <si>
    <t>Region based Current Inventory monthly View 
- Open at which Stage (Analyze/ Act)
- Open with current status (Assigned, unassigned, PEND, SAR Pending etc.)
- Aging at each stage (Approaching in 3 days, 6 days, SLA breach)
Criteria:
- Timeframe
- Market
- Region
- Line of Business
- Product Type
- Legal Entity
- Input Name
- Input ID
-Team (Market/ FIU)</t>
  </si>
  <si>
    <t>DB36</t>
  </si>
  <si>
    <t>Cost of AML alert/ case</t>
  </si>
  <si>
    <t xml:space="preserve">Region based trend of the unit cost of an alert/ case for past based on average time taken to close an alert/ case and average cost of resource
Criteria:
- Timeframe
- Market
- Region
- Line of Business
- Product Type
- Legal Entity
- Input Name
- Input ID
Past data for 6 months by default with extension upto 2 Years. </t>
  </si>
  <si>
    <t xml:space="preserve">Detailed view based on criteria providing following details:
1. Number of alert closed
2. Average time taken
3. Number of resources
4. Average cost per resource
</t>
  </si>
  <si>
    <t>DB37</t>
  </si>
  <si>
    <t>Productivity of  Analyst</t>
  </si>
  <si>
    <t>Region based past trend of the productivity (Units/ Hour) qithin a Teanm based on following criteria
- Timeframe
- Market
- Region
- Team (FIU Hub/ Market)
- Legal Entity
- Complexity</t>
  </si>
  <si>
    <t>List of Analysts and their productivity as per the selected criteria</t>
  </si>
  <si>
    <t>DB38</t>
  </si>
  <si>
    <t>Closed Alerts: Escalations Vs Non-Escalations</t>
  </si>
  <si>
    <t>Region-wise monthly view of closed alerts &amp; cases on Escalations and Non-Escalations based on following criteria.
To also include, aging of the closed alerts &amp; cases at each level (FIU and Market)
- Timeframe (Past data for 6 months by default with extension upto 2 Years)
- Market
- Region
- Line of Business
- Legal Entity
- Input Name
- Input ID
- Product Type
- Alert/ Case/ All</t>
  </si>
  <si>
    <t>Specific criteria view</t>
  </si>
  <si>
    <t>Additional metrics - DB43 to DB55</t>
  </si>
  <si>
    <t>Reporting Team</t>
  </si>
  <si>
    <t>View the information to help prepare board reports or help a market in any specific asks related to reporting</t>
  </si>
  <si>
    <t>DB39</t>
  </si>
  <si>
    <t>Alert/ Case Inventory Summary Dashboard</t>
  </si>
  <si>
    <t>Region-wise View of the historical trend on monthly basis of alert &amp; case inventory  based on following metrics:
- Alert &amp; Case Generated
- Alert &amp; Case Closed
- Open Alerts &amp; Cases
- Average Age
Criteria:
- Market
- Region
- Line of Business
- Legal Entity
- Input Name
- Input ID
- Product Type
- Timeframe (Past data for 6 months by default with extension upto 2 Years)
- Alert/ Case/ All</t>
  </si>
  <si>
    <t>Corresponding data should be available to download</t>
  </si>
  <si>
    <t>DB40</t>
  </si>
  <si>
    <t>Open Alerts &amp; Cases by Input and Product Category</t>
  </si>
  <si>
    <t>Region-wise view of open alerts &amp; cases based on following metrics:
1. Input (Eg-Card, PSA, Merchant,etc)
2. Product Type
Criteria
- Timeframe (Past data for 6 months by default with extension upto 2 Years)
- Market
- Region
- Line of Business
- Legal Entity
- Alert/ Case/ All
- Input ID
- Input Name
- Product Type</t>
  </si>
  <si>
    <t xml:space="preserve">Corresponding data should be available to download.
</t>
  </si>
  <si>
    <t>DB41</t>
  </si>
  <si>
    <t>Open Alerts &amp; Cases by Aging</t>
  </si>
  <si>
    <t>Monthly View of open alerts &amp; cases based on  Aging bucket
Criteria
- Timeframe (Past data for 6 months by default with extension upto 2 Years)
- Market
- Region
- Line of Business
- Legal Entity
- Alert/ Case/ All
- Aging bucket 
- Input ID
- Input Name</t>
  </si>
  <si>
    <t>1. Corresponding data should be available to download.
2. For Aging, user should be able to see the percentage change based on prior month for all the regions</t>
  </si>
  <si>
    <t>DB42</t>
  </si>
  <si>
    <t>Closed Alerts &amp; Cases by Decision Types</t>
  </si>
  <si>
    <t>Monthly view of closed alerts &amp; cases by the decision types (DNAS, NFIR, SAR etc) based on following criteria:
- Timeframe
- Market
- Region
- Line of Business
- Legal Entity
- Input ID
- Input Name
- Product Type
- Alert/ Case/ All</t>
  </si>
  <si>
    <t>DB43</t>
  </si>
  <si>
    <t>Closed Alerts: Suspicious Activity Reports and Non-Escalations</t>
  </si>
  <si>
    <t>Region-wise view of closed alerts &amp; cases on Suspicious Activity Reports filling and Non-Escalations based on following criteria:
- Timeframe (Past data for 6 months by default with extension upto 2 Years)
- Market
- Region
- Line of Business
- Legal Entity
- Input ID
- Input Name
- Product Type
- Alert/ Case/ All</t>
  </si>
  <si>
    <t>DB45</t>
  </si>
  <si>
    <t>SAR Filed</t>
  </si>
  <si>
    <t>1.Overall number of SAR filings segregated by region for selected Critera:
- Timeframe (Past data for 6 months by default with extension upto 2 Years)
- Line of Business
- Legal Entity
- Input Name
- Product Type
- Input ID
2. Region-wise trend on number of SAR filings segregated by market for selected Critera:
- Timeframe (Past data for 6 months by default with extension upto 2 Years)
- Region 
- Market
- Line of Business
- Legal Entity
- Input Name
- Product Type</t>
  </si>
  <si>
    <t>1. Corresponding data should be available to download.
2. Total Enterprise Suspicious Activity Report Filings should include:
a. Total Number of Filings 
b. Initial Suspicious Activity Reports Exceeding Regulatory Timelines
c. Continuing Activity Suspicious Activity Reports Exceeding Regulatory Timelines</t>
  </si>
  <si>
    <t>DB46</t>
  </si>
  <si>
    <t>Products Involved in Suspicious Activity Reports Filed</t>
  </si>
  <si>
    <t>Region-wise view of the historical trend of SAR based on products on the following criteria
- Timeframe  (Past data for 6 months by default with extension upto 2 Years)
- Market
- Region
- Line of Business
- Legal Entity
- Input ID
- Input Name
- Product Type (Eg-Card, Merchant, Bank Product, etc)</t>
  </si>
  <si>
    <t>DB47</t>
  </si>
  <si>
    <t xml:space="preserve">SAR Filed by Typologies </t>
  </si>
  <si>
    <t>Number of SAR filed by Typologies based on the following criteria:
- Timeframe
- Market
- Region
- Line of Business
- Legal Entity
- Input ID
- Input Name
- Product Type
- Typologies (Eg: Fraud, Money Laundering, etc)</t>
  </si>
  <si>
    <t>DB48</t>
  </si>
  <si>
    <t>Suspicious Activity Reports Exceeding Regulatory Timelines – Initial &amp; Continuing*</t>
  </si>
  <si>
    <t>Overall Trend of Initial &amp; Continuing SAR filed where the aging is more than 30 days for a region based on the following criteria
- Timeframe(Past data for 2 Years by default with extension upto 2 Year)
- Market
- Region
- Legal Entity</t>
  </si>
  <si>
    <t>DB49</t>
  </si>
  <si>
    <t>AML Alerts Exceeding Internal Timelines</t>
  </si>
  <si>
    <t>Trend of number of alerts which exceeded internal SLA per region based on following criteria or multiple criteria:
- Timeframe(Past data for 2 Years by default with extension upto 2 Year)
- Market
- Region
- Legal Entity</t>
  </si>
  <si>
    <t>DB50</t>
  </si>
  <si>
    <t>AML Inventory and Resource Forecast</t>
  </si>
  <si>
    <t xml:space="preserve">Overall Forecast of AML and resource inventory based on   following criteria or multiple criteria
- Timeframe(Past data for 2 Years by default with extension upto 2 Year)
- Market
- Region
- Legal Entity
</t>
  </si>
  <si>
    <t>Region-wise Forecast of AML and resource inventory based on   following criteria or multiple criteria
- Timeframe(Past data for 1 Year by default with extension upto 2 Year)
- Market
- Region
- Legal Entity
Metrics should include:
1. U.S. Initial alerts
2. U.S. reviews for continuing activity
3. Non-U.S. Alerts
4. Process Inputs
5. Ending Inventory</t>
  </si>
  <si>
    <t>DB51</t>
  </si>
  <si>
    <t>Cycle time of alerts</t>
  </si>
  <si>
    <t>Region-wise number of alerts &amp; cases along with average age of alert/ case (from alert generation to closure)
Criteria:
- Market
- Region
- Line of Business
- Legal Entity
- Input ID
- Input Name
- Product Type
- Timeframe (Past data for 6 months by default with extension upto 2 Years)
- Alert/ Case/ All</t>
  </si>
  <si>
    <t>Market level view for each of the region</t>
  </si>
  <si>
    <t>Regional and Local Compliance Officer</t>
  </si>
  <si>
    <t>Gain a holistic picture of the performance within the market/ region
Take appropriate actions or escalates</t>
  </si>
  <si>
    <t>Monthly view (region or market based on roles) of the number of SARs in past and forecast based on following metrics:
- SAR Filing (Past &amp; Forecast)
- SAR Rate (Total SAR filed/ Total Alert Closure)
- Rejections (Past)
- Regulatory Inquiry (Past)
Criteria
- Region
- Market
- Product Type
- Input Name
- Line of business
- Timeframe for past and forecast
- Legal Entity
- Input ID
Past data for 6 months by default with extension upto 2 Years. Forecasting upto 3 months</t>
  </si>
  <si>
    <t>View on the SAR filing past trend and future forecast based on the selected criteria and metrics</t>
  </si>
  <si>
    <t>Monthly trend view (region or market based on roles) of the alert/ case past trend &amp; forecast based on following  metrics:
- Alerts 
  - Open
  - Closed
- Cases
  - Open
  - Closed
Criteria:
- Timeframe
- Market
- Region
- Line of Business
- Product Type
- Legal Entity
- Input Name
- Input ID
Past data for 6 months by default with extension upto 2 Years. Forecasting upto 3 months</t>
  </si>
  <si>
    <t>Region based view of alerts/ cases past trend based on following metrics:
- SLA breach
- SAR Rate (Total SAR filed/ Total Alert Closure)
- Effectiveness [Quality Score (QC + QA)]
- Disposition time
Criteria:
- Timeframe
- Market
- Region
- Line of Business
- Product Type
- Legal Entity
- Input Name
- Input ID
Past data for 6 months by default with extension upto 2 Years. Forecasting upto 3 months</t>
  </si>
  <si>
    <t>Region based Current Inventory View 
- Open at which Stage (Analyze/ Act)
- Open with current status (Assigned, unassigned, PEND, SAR Pending etc.)
- Aging at each stage (Approaching in 3 days, 6 days, SLA breach)
Criteria:
- Timeframe
- Market
- Region
- Line of Business
- Product Type
- Legal Entity
- Input Name
- Input ID
-Team (Market/ FIU)</t>
  </si>
  <si>
    <t>Closed Alerts: Escalations and Non-Escalations</t>
  </si>
  <si>
    <t>Monthly trend view (region or market based on roles) of closed alerts &amp; cases on Escalations and Non-Escalations based on following criteria along withe forecast.
To also include, aging of the closed alerts &amp; cases at each level (FIU and Market)
- Timeframe (Past data for 6 months by default with extension upto 2 Years)
- Market
- Region
- Line of Business
- Legal Entity
- Input Name
- Product Type
- Input ID
- Alert/ Case/ All</t>
  </si>
  <si>
    <t>List of alerts and cases along with the outcomes as per the selected criteria</t>
  </si>
  <si>
    <t>Monthly view (region or market based on roles) of past trend of the productivity (Number of Cases/ Hour)   within a team based on following criteria
- Timeframe
- Market
- Region
- Team( FIU Hub/ Market)
- Legal Entity</t>
  </si>
  <si>
    <t>Monthly view of closed alerts &amp; cases by the decision types (DNAS, NFIR, SAR etc) based on following criteria:
- Timeframe
- Market
- Region
- Line of Business
- Legal Entity
- Input Name
- Input ID
- Product Type
- Alert/ Case/ All</t>
  </si>
  <si>
    <t>List of alerts based on the criteria selected</t>
  </si>
  <si>
    <t>CRR Overview</t>
  </si>
  <si>
    <t xml:space="preserve">Monthly view of the customers under the category Low, Medium and High based on below mentioned parameters
- Customers 
- % Distribution
- % Distribution Change from the last months
Criteria:
- Timeframe
- Market
- Region
- Legal Entity
- Product Group
- Product Type
- Risk Rating
- Customer Type
Note: System should display Enterprise level scoring by default with an ability to toggle to Legal Entity scoring. (The different level of reporting to be validated against the use case in CRR BRD overtime)
</t>
  </si>
  <si>
    <t>Number of customers based on selected criteria</t>
  </si>
  <si>
    <t xml:space="preserve">
- Customers
- High Risk Customers
- Medium Risk Customers
- Low Risk Customers
-%Customers
- % High Risk
- % Medium Risk
- % Low Risk
- % Distribution Change (High Risk)
- % Distribution Change (Medium Risk)
- % Distribution Change (Low Risk)</t>
  </si>
  <si>
    <t>DB44</t>
  </si>
  <si>
    <t>CRR - Breakup Overview</t>
  </si>
  <si>
    <t>Market level view of High, Medium and Low rating customers based on following metrics:
1. Number of customers
2. % Distribution of High, Medium and Low
Criteria:
 - Region
- Market
- Product Group
- Product Type
- Legal Entity
- Timeframe
- Risk Rating (High/ Medium / Low) 
- Customer Type
Note: System should display Enterprise level scoring by default with an ability to toggle to Legal Entity scoring.  (The different level of reporting to be validated against the use case in CRR BRD overtime)</t>
  </si>
  <si>
    <t>Percentage of High, Medium and Low rating customers for top 5 markets/ region/ product group/ product type/ lega; entity based on following criteria:
 - Timeframe
- Risk Rating (High/ Medium / Low)</t>
  </si>
  <si>
    <t>CRR - Cross Market Analysis</t>
  </si>
  <si>
    <t>Market level comparision of CRR for all the  different products based on following criteria
- Timeframe
- Market
- Region
- Legal Entity
- Product Group
- Product Type
- Risk Rating (High/ Medium/ Low)
- Risk Element
- Customer Type
- Absolute/ Percentage 
- Dimension (Product Group/ Product type)
- Metric (%Customer Impacted/ Average Score)
- Customer Type
Note: System should display Enterprise level scoring by default with an ability to toggle to Legal Entity scoring.  (The different level of reporting to be validated against the use case in CRR BRD overtime)</t>
  </si>
  <si>
    <t>Number of customers based on selected Market</t>
  </si>
  <si>
    <t xml:space="preserve">
- Product group
- Product Type
- Legal Entity
- High Risk Customers
- Medium Risk Customers
- Low Risk Customers
-%Customers
- % High Risk
- % Medium Risk
- % Low Risk
- % Distribution Change (High Risk)
- % Distribution Change (Medium Risk)
- % Distribution Change (Low Risk)</t>
  </si>
  <si>
    <t>CRR - Average score and % Customer impacted by Risk element and Market</t>
  </si>
  <si>
    <t>Average score and % customer impacted by Risk Element and Market based following crietra:
- Timeframe
- Market
- Region
- Legal Entity
- Product Group
- Product Type
- Risk Rating
- Risk Category
- Customer Type
Note: System should display Enterprise level scoring by default with an ability to toggle to Legal Entity scoring.  (The different level of reporting to be validated against the use case in CRR BRD overtime)</t>
  </si>
  <si>
    <t>CRR - Time Variance</t>
  </si>
  <si>
    <t>Variance of CRR distribution  for 2 months across High Risk, Medium Risk, Low Risk &amp; Prohibited based following Dimensions:
- Market
- Region
- Legal Entity
- Product Group
- Product Type
- Risk Element
Criteria:
- Timeframe
- Market
- Region
- Legal Entity
- Product Group
- Product Type
- Risk Rating
- Account type
- Absolute/ Percentage 
- Customer Type
Note: System should display Enterprise level scoring by default with an ability to toggle to Legal Entity scoring.  (The different level of reporting to be validated against the use case in CRR BRD overtime)</t>
  </si>
  <si>
    <t>CRR - Risk Element Breakdown</t>
  </si>
  <si>
    <t>Risk Element breakdown for 2 months across Average Score, Number of Customers impacted and Percentage of Customers impacted based following crietra:
- Timeframe
- Market
- Region
- Legal Entity
- Product Group
- Product Type
- Risk Rating
- Risk Category
- Customer Type
Note: System should display Enterprise level scoring by default with an ability to toggle to Legal Entity scoring.  (The different level of reporting to be validated against the use case in CRR BRD overtime)</t>
  </si>
  <si>
    <t xml:space="preserve">
- Risk Element
- Risk Category
- Weigtage
- Multiplier
- Number of customers impacted
- High Risk Customers
- Medium Risk Customers
- Low Risk Customers
-%Customers
- % High Risk
- % Medium Risk
- % Low Risk
- Average score (High Risk)
- Average score  (Medium Risk)
- Average score  (Low Risk)</t>
  </si>
  <si>
    <t>CRR - Impact of High risk override</t>
  </si>
  <si>
    <t>Average Score and Number of customers impacted due to High Risk Override based on following critera
- Timeframe
- Market
- Region
- Legal Entity
- Product Group
- Product Type
- Risk Rating
- Risk Category
- Customer Type
Note: System should display Enterprise level scoring by default with an ability to toggle to Legal Entity scoring.  (The different level of reporting to be validated against the use case in CRR BRD overtime)</t>
  </si>
  <si>
    <t>CRR - Drivers of CRR Distribution</t>
  </si>
  <si>
    <t>Monthly view on the drivers of CRR distribution across % Customers impacted and Average Score based on following criteria:
- Timeframe
- Market
- Region
- Legal Entity
- Product Group
- Product Type
- Risk Rating
- Risk Category
- Customer Type
Note: System should display Enterprise level scoring by default with an ability to toggle to Legal Entity scoring.  (The different level of reporting to be validated against the use case in CRR BRD overtime)</t>
  </si>
  <si>
    <t>Percentage of CRR for top 5 products</t>
  </si>
  <si>
    <t>Monthly view on the CRR for top 5 products based on following criteria:
- Timeframe
- Market
- Region
- Legal Entity
- Product Group
- Product Type
- Risk Rating
- Risk Category
- Customer Type
Note: System should display Enterprise level scoring by default with an ability to toggle to Legal Entity scoring.  (The different level of reporting to be validated against the use case in CRR BRD overtime)</t>
  </si>
  <si>
    <t>DB52</t>
  </si>
  <si>
    <t>CRR - Distribution of Risk Elements</t>
  </si>
  <si>
    <t>Risk Element breakdown for based on following crietra:
- Timeframe
- Market
- Region
- Legal Entity
- Product Group
- Product Type
- Risk Rating
- Risk Category
- Customer Type
Note: System should display Enterprise level scoring by default with an ability to toggle to Legal Entity scoring.  (The different level of reporting to be validated against the use case in CRR BRD overtime)</t>
  </si>
  <si>
    <t>Selected view based on the selection</t>
  </si>
  <si>
    <t>DB53</t>
  </si>
  <si>
    <t xml:space="preserve">CRR - High Risk View </t>
  </si>
  <si>
    <t>Market level view of following dimensions on monthly basis:
-	High Risk customers  in previous month
-	New High Risk customers
-	High Risk canceled customers
-	High Risk to Medium Risk
-	Medium Risk  to High Risk
-	High Risk to Low Risk
-	Low Risk to High Risk
-	Others
-	High Risk customers in current month
Criteria
- Market
- Region
- Timeperiod
- Product group
- Product Type
- Legal Entity
- Customer Type
Note: System should display Enterprise level scoring by default with an ability to toggle to Legal Entity scoring.  (The different level of reporting to be validated against the use case in CRR BRD overtime)</t>
  </si>
  <si>
    <t>List of the customers based on selection</t>
  </si>
  <si>
    <t>DB54</t>
  </si>
  <si>
    <t>CRR -Medium Risk View</t>
  </si>
  <si>
    <t>Market level view of following dimensions on monthly basis:
- Medium Risk customers in previous month
- New Medium Risk customers
- Medium Risk canceled customers
- Medium Risk to High Risk
- High Risk to Medium Risk
- Medium Risk to Low Risk
- Low Risk to Medium Risk
- Others
- Medium Risk customers in current Month
Criteria
- Market
- Region
- Timeperiod
- Product group
- Product Type
- Legal Entity
- Customer Type
Note: System should display Enterprise level scoring by default with an ability to toggle to Legal Entity scoring.  (The different level of reporting to be validated against the use case in CRR BRD overtime)</t>
  </si>
  <si>
    <t>DB55</t>
  </si>
  <si>
    <t>CRR - Low Risk View</t>
  </si>
  <si>
    <t>Market level view of following dimensions on monthly basis:
- Low Risk customers in previous month
- New Low Risk customers
- Low Risk canceled customers
- Low Risk to High Risk
- High Risk to Low Risk
- Low Risk to Medium Risk
- Medium Risk to Low Risk
- Others
- Low Risk customers in current Month
Criteria
- Market
- Region
- Timeperiod
- Product group
- Product Type
- Legal Entity
- Customer Type
Note: System should display Enterprise level scoring by default with an ability to toggle to Legal Entity scoring.  (The different level of reporting to be validated against the use case in CRR BRD overtime)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</si>
</sst>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8"/>
      <name val="Aptos Narrow"/>
      <family val="2"/>
      <scheme val="minor"/>
    </font>
    <font>
      <sz val="10"/>
      <color rgb="FF0070C0"/>
      <name val="Calibri"/>
      <family val="2"/>
    </font>
    <font>
      <sz val="10"/>
      <color theme="1"/>
      <name val="Calibri"/>
      <family val="2"/>
    </font>
    <font>
      <sz val="10"/>
      <name val="Calibri"/>
      <family val="2"/>
    </font>
    <font>
      <b/>
      <sz val="10"/>
      <color rgb="FFFFFFFF"/>
      <name val="Calibri"/>
      <family val="2"/>
    </font>
    <font>
      <b/>
      <sz val="10"/>
      <name val="Calibri"/>
      <family val="2"/>
    </font>
    <font>
      <b/>
      <sz val="10"/>
      <color theme="1"/>
      <name val="Calibri"/>
      <family val="2"/>
    </font>
    <font>
      <b/>
      <sz val="11"/>
      <color rgb="FF000000"/>
      <name val="Calibri"/>
      <family val="2"/>
    </font>
    <font>
      <b/>
      <sz val="10"/>
      <color rgb="FF000000"/>
      <name val="Calibri"/>
      <family val="2"/>
    </font>
    <font>
      <b/>
      <sz val="10"/>
      <color rgb="FF2F75B5"/>
      <name val="Calibri"/>
      <family val="2"/>
    </font>
    <font>
      <sz val="10"/>
      <color rgb="FF00B050"/>
      <name val="Calibri"/>
      <family val="2"/>
    </font>
    <font>
      <b/>
      <sz val="10"/>
      <color rgb="FFFF0000"/>
      <name val="Calibri"/>
      <family val="2"/>
    </font>
    <font>
      <sz val="11"/>
      <color theme="1"/>
      <name val="Calibri"/>
      <family val="2"/>
    </font>
    <font>
      <b/>
      <sz val="12"/>
      <color theme="3" tint="0.249977111117893"/>
      <name val="Calibri"/>
      <family val="2"/>
    </font>
    <font>
      <sz val="11"/>
      <color theme="3" tint="0.249977111117893"/>
      <name val="Calibri"/>
      <family val="2"/>
    </font>
    <font>
      <b/>
      <sz val="11"/>
      <color theme="3" tint="0.249977111117893"/>
      <name val="Calibri"/>
      <family val="2"/>
    </font>
    <font>
      <sz val="10"/>
      <color theme="1"/>
      <name val="Aptos Narrow"/>
      <family val="2"/>
      <scheme val="minor"/>
    </font>
    <font>
      <sz val="10"/>
      <name val="Aptos Narrow"/>
      <family val="2"/>
      <scheme val="minor"/>
    </font>
  </fonts>
  <fills count="8">
    <fill>
      <patternFill patternType="none"/>
    </fill>
    <fill>
      <patternFill patternType="gray125"/>
    </fill>
    <fill>
      <patternFill patternType="solid">
        <fgColor rgb="FFFFFFFF"/>
        <bgColor rgb="FF000000"/>
      </patternFill>
    </fill>
    <fill>
      <patternFill patternType="solid">
        <fgColor rgb="FFDDEBF7"/>
        <bgColor rgb="FF000000"/>
      </patternFill>
    </fill>
    <fill>
      <patternFill patternType="solid">
        <fgColor rgb="FFFEF2EC"/>
        <bgColor rgb="FF000000"/>
      </patternFill>
    </fill>
    <fill>
      <patternFill patternType="solid">
        <fgColor rgb="FFFFFF00"/>
        <bgColor indexed="64"/>
      </patternFill>
    </fill>
    <fill>
      <patternFill patternType="solid">
        <fgColor rgb="FF2F75B5"/>
        <bgColor rgb="FF000000"/>
      </patternFill>
    </fill>
    <fill>
      <patternFill patternType="solid">
        <fgColor theme="3" tint="0.89999084444715716"/>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rgb="FF53565A"/>
      </left>
      <right style="medium">
        <color rgb="FF53565A"/>
      </right>
      <top style="medium">
        <color rgb="FF53565A"/>
      </top>
      <bottom style="medium">
        <color rgb="FF53565A"/>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5">
    <xf numFmtId="0" fontId="0" fillId="0" borderId="0" xfId="0"/>
    <xf numFmtId="0" fontId="3" fillId="0" borderId="0" xfId="0" applyFont="1"/>
    <xf numFmtId="0" fontId="3" fillId="0" borderId="0" xfId="0" applyFont="1" applyAlignment="1">
      <alignment wrapText="1"/>
    </xf>
    <xf numFmtId="0" fontId="3" fillId="0" borderId="0" xfId="0" applyFont="1" applyAlignment="1">
      <alignment vertical="center"/>
    </xf>
    <xf numFmtId="0" fontId="4" fillId="0" borderId="0" xfId="0" applyFont="1"/>
    <xf numFmtId="0" fontId="7" fillId="0" borderId="0" xfId="0" applyFont="1" applyAlignment="1">
      <alignment horizontal="center" vertical="center"/>
    </xf>
    <xf numFmtId="0" fontId="7" fillId="0" borderId="0" xfId="0" applyFont="1" applyAlignment="1">
      <alignment horizontal="center" vertical="top"/>
    </xf>
    <xf numFmtId="0" fontId="8" fillId="2" borderId="2" xfId="0" applyFont="1" applyFill="1" applyBorder="1" applyAlignment="1">
      <alignment horizontal="center" vertical="center" wrapText="1"/>
    </xf>
    <xf numFmtId="0" fontId="9" fillId="3" borderId="3" xfId="0" applyFont="1" applyFill="1" applyBorder="1" applyAlignment="1">
      <alignment vertical="center" wrapText="1"/>
    </xf>
    <xf numFmtId="0" fontId="10" fillId="4" borderId="4" xfId="0" applyFont="1" applyFill="1" applyBorder="1" applyAlignment="1">
      <alignment vertical="center" wrapText="1"/>
    </xf>
    <xf numFmtId="0" fontId="4" fillId="0" borderId="1" xfId="0" applyFont="1" applyBorder="1" applyAlignment="1">
      <alignment vertical="top" wrapText="1"/>
    </xf>
    <xf numFmtId="0" fontId="3" fillId="0" borderId="1" xfId="0" applyFont="1" applyBorder="1" applyAlignment="1">
      <alignment vertical="top"/>
    </xf>
    <xf numFmtId="0" fontId="3" fillId="0" borderId="1" xfId="0" applyFont="1" applyBorder="1" applyAlignment="1">
      <alignment vertical="center"/>
    </xf>
    <xf numFmtId="0" fontId="3" fillId="0" borderId="1" xfId="0" applyFont="1" applyBorder="1"/>
    <xf numFmtId="0" fontId="7" fillId="0" borderId="1" xfId="0" applyFont="1" applyBorder="1" applyAlignment="1">
      <alignment vertical="top"/>
    </xf>
    <xf numFmtId="0" fontId="3" fillId="0" borderId="1" xfId="0" applyFont="1" applyBorder="1" applyAlignment="1">
      <alignment vertical="top" wrapText="1"/>
    </xf>
    <xf numFmtId="0" fontId="3" fillId="0" borderId="1" xfId="0" applyFont="1" applyBorder="1" applyAlignment="1">
      <alignment wrapText="1"/>
    </xf>
    <xf numFmtId="0" fontId="6" fillId="0" borderId="1"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12" fillId="5" borderId="1" xfId="0" applyFont="1" applyFill="1" applyBorder="1" applyAlignment="1">
      <alignment horizontal="center" vertical="center" wrapText="1" readingOrder="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0" fillId="0" borderId="0" xfId="0" applyAlignment="1">
      <alignment horizontal="center" vertical="top"/>
    </xf>
    <xf numFmtId="0" fontId="0" fillId="0" borderId="0" xfId="0" applyAlignment="1">
      <alignment vertical="top"/>
    </xf>
    <xf numFmtId="0" fontId="4" fillId="0" borderId="1" xfId="0" applyFont="1" applyBorder="1" applyAlignment="1">
      <alignment horizontal="left" vertical="top" wrapText="1"/>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wrapText="1"/>
    </xf>
    <xf numFmtId="0" fontId="0" fillId="0" borderId="0" xfId="0" applyAlignment="1">
      <alignment horizontal="left"/>
    </xf>
    <xf numFmtId="0" fontId="0" fillId="0" borderId="0" xfId="0" applyAlignment="1">
      <alignment horizontal="center"/>
    </xf>
    <xf numFmtId="0" fontId="13" fillId="0" borderId="0" xfId="0" applyFont="1"/>
    <xf numFmtId="0" fontId="14" fillId="0" borderId="0" xfId="0" applyFont="1"/>
    <xf numFmtId="0" fontId="14" fillId="0" borderId="0" xfId="0" applyFont="1" applyAlignment="1">
      <alignment wrapText="1"/>
    </xf>
    <xf numFmtId="0" fontId="15" fillId="0" borderId="0" xfId="0" applyFont="1"/>
    <xf numFmtId="0" fontId="13" fillId="0" borderId="0" xfId="0" applyFont="1" applyAlignment="1">
      <alignment wrapText="1"/>
    </xf>
    <xf numFmtId="0" fontId="16" fillId="0" borderId="0" xfId="0" applyFont="1"/>
    <xf numFmtId="0" fontId="5" fillId="6" borderId="5" xfId="0" applyFont="1" applyFill="1" applyBorder="1" applyAlignment="1">
      <alignment horizontal="center" vertical="center" wrapText="1" readingOrder="1"/>
    </xf>
    <xf numFmtId="0" fontId="5" fillId="6" borderId="1" xfId="0" applyFont="1" applyFill="1" applyBorder="1" applyAlignment="1">
      <alignment horizontal="center" vertical="center" wrapText="1" readingOrder="1"/>
    </xf>
    <xf numFmtId="0" fontId="4" fillId="0" borderId="1" xfId="0" applyFont="1" applyBorder="1" applyAlignment="1">
      <alignment vertical="top"/>
    </xf>
    <xf numFmtId="0" fontId="4" fillId="0" borderId="1" xfId="0" applyFont="1" applyBorder="1" applyAlignment="1">
      <alignment horizontal="center" vertical="top"/>
    </xf>
    <xf numFmtId="0" fontId="4" fillId="7" borderId="1" xfId="0" applyFont="1" applyFill="1" applyBorder="1" applyAlignment="1">
      <alignment vertical="top" wrapText="1"/>
    </xf>
    <xf numFmtId="0" fontId="17" fillId="0" borderId="0" xfId="0" applyFont="1"/>
    <xf numFmtId="0" fontId="7" fillId="0" borderId="1" xfId="0" applyFont="1" applyBorder="1" applyAlignment="1">
      <alignment vertical="top" wrapText="1"/>
    </xf>
    <xf numFmtId="0" fontId="6" fillId="0" borderId="1" xfId="0" applyFont="1" applyBorder="1" applyAlignment="1">
      <alignment horizontal="center" vertical="top" wrapText="1"/>
    </xf>
    <xf numFmtId="0" fontId="6" fillId="0" borderId="1" xfId="0" applyFont="1" applyBorder="1" applyAlignment="1">
      <alignment vertical="top" wrapText="1"/>
    </xf>
    <xf numFmtId="0" fontId="7" fillId="0" borderId="1" xfId="0" applyFont="1" applyBorder="1" applyAlignment="1">
      <alignment horizontal="center" vertical="top" wrapText="1"/>
    </xf>
    <xf numFmtId="0" fontId="2" fillId="0" borderId="1" xfId="0" applyFont="1" applyBorder="1" applyAlignment="1">
      <alignment vertical="top" wrapText="1"/>
    </xf>
    <xf numFmtId="0" fontId="7" fillId="0" borderId="1" xfId="0" applyFont="1" applyBorder="1" applyAlignment="1">
      <alignment horizontal="left" vertical="top" wrapText="1" indent="1"/>
    </xf>
    <xf numFmtId="0" fontId="4" fillId="0" borderId="1" xfId="0" applyFont="1" applyBorder="1" applyAlignment="1">
      <alignment wrapText="1"/>
    </xf>
    <xf numFmtId="0" fontId="3" fillId="0" borderId="1" xfId="0" applyFont="1" applyBorder="1" applyAlignment="1">
      <alignment horizontal="left" vertical="top" wrapText="1"/>
    </xf>
    <xf numFmtId="0" fontId="3" fillId="0" borderId="0" xfId="0" applyFont="1" applyAlignment="1">
      <alignment vertical="top"/>
    </xf>
    <xf numFmtId="0" fontId="3" fillId="0" borderId="1" xfId="0" applyFont="1" applyBorder="1" applyAlignment="1">
      <alignment horizontal="center" vertical="center"/>
    </xf>
    <xf numFmtId="0" fontId="3" fillId="0" borderId="1" xfId="0" applyFont="1" applyBorder="1" applyAlignment="1">
      <alignment horizontal="center" vertical="top" wrapText="1"/>
    </xf>
    <xf numFmtId="0" fontId="4" fillId="7" borderId="1" xfId="0" applyFont="1" applyFill="1" applyBorder="1" applyAlignment="1">
      <alignment horizontal="center" vertical="center"/>
    </xf>
    <xf numFmtId="0" fontId="3" fillId="0" borderId="1" xfId="0" applyFont="1" applyBorder="1" applyAlignment="1">
      <alignment horizontal="center"/>
    </xf>
    <xf numFmtId="49" fontId="3" fillId="0" borderId="1" xfId="0" applyNumberFormat="1" applyFont="1" applyBorder="1" applyAlignment="1">
      <alignment horizontal="center" vertical="top"/>
    </xf>
    <xf numFmtId="15" fontId="3" fillId="0" borderId="1" xfId="0" applyNumberFormat="1" applyFont="1" applyBorder="1" applyAlignment="1">
      <alignment horizontal="center" vertical="top"/>
    </xf>
    <xf numFmtId="0" fontId="0" fillId="0" borderId="0" xfId="0" applyAlignment="1">
      <alignment horizontal="center" vertical="top" wrapText="1"/>
    </xf>
    <xf numFmtId="0" fontId="4" fillId="0" borderId="1" xfId="0" applyFont="1" applyBorder="1" applyAlignment="1">
      <alignment horizontal="center" vertical="top"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0" borderId="1" xfId="0" applyFont="1" applyBorder="1"/>
    <xf numFmtId="0" fontId="4" fillId="0" borderId="1" xfId="0" applyFont="1" applyBorder="1" applyAlignment="1">
      <alignment horizontal="center"/>
    </xf>
    <xf numFmtId="0" fontId="3" fillId="0" borderId="1" xfId="0" applyFont="1" applyBorder="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vertical="center" wrapText="1"/>
    </xf>
    <xf numFmtId="0" fontId="0" fillId="0" borderId="1" xfId="0" applyBorder="1"/>
    <xf numFmtId="0" fontId="4" fillId="7" borderId="1" xfId="0" applyFont="1" applyFill="1" applyBorder="1" applyAlignment="1">
      <alignment horizontal="center" vertical="top" wrapText="1"/>
    </xf>
    <xf numFmtId="0" fontId="3" fillId="7" borderId="1" xfId="0" applyFont="1" applyFill="1" applyBorder="1" applyAlignment="1">
      <alignment wrapText="1"/>
    </xf>
    <xf numFmtId="0" fontId="4" fillId="7" borderId="1" xfId="0" applyFont="1" applyFill="1" applyBorder="1" applyAlignment="1">
      <alignment horizontal="center"/>
    </xf>
    <xf numFmtId="0" fontId="18" fillId="7" borderId="1" xfId="0" applyFont="1" applyFill="1" applyBorder="1" applyAlignment="1">
      <alignment wrapText="1"/>
    </xf>
    <xf numFmtId="0" fontId="18" fillId="7" borderId="1" xfId="0" applyFont="1" applyFill="1" applyBorder="1" applyAlignment="1">
      <alignment horizontal="center" vertical="center"/>
    </xf>
    <xf numFmtId="0" fontId="18" fillId="7" borderId="1" xfId="0" applyFont="1" applyFill="1" applyBorder="1" applyAlignment="1">
      <alignment vertical="center" wrapText="1"/>
    </xf>
    <xf numFmtId="0" fontId="18" fillId="0" borderId="0" xfId="0" applyFont="1"/>
    <xf numFmtId="0" fontId="18" fillId="0" borderId="0" xfId="0" applyFont="1" applyAlignment="1">
      <alignment horizontal="center" vertical="center"/>
    </xf>
    <xf numFmtId="0" fontId="18" fillId="0" borderId="0" xfId="0" applyFont="1" applyAlignment="1">
      <alignment vertical="center" wrapText="1"/>
    </xf>
    <xf numFmtId="0" fontId="18" fillId="0" borderId="0" xfId="0" applyFont="1" applyAlignment="1">
      <alignment wrapText="1"/>
    </xf>
    <xf numFmtId="0" fontId="18" fillId="7" borderId="1" xfId="0" applyFont="1" applyFill="1" applyBorder="1" applyAlignment="1">
      <alignment vertical="top" wrapText="1"/>
    </xf>
    <xf numFmtId="0" fontId="18" fillId="7"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3" fillId="0" borderId="1" xfId="0" applyFont="1" applyBorder="1" applyAlignment="1">
      <alignment horizontal="center" vertical="top"/>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3" fillId="0" borderId="6" xfId="0" applyFont="1" applyBorder="1" applyAlignment="1">
      <alignment horizontal="center" vertical="top"/>
    </xf>
    <xf numFmtId="0" fontId="3" fillId="0" borderId="7" xfId="0" applyFont="1" applyBorder="1" applyAlignment="1">
      <alignment horizontal="center" vertical="top"/>
    </xf>
    <xf numFmtId="0" fontId="3" fillId="0" borderId="8" xfId="0" applyFont="1" applyBorder="1" applyAlignment="1">
      <alignment horizontal="center" vertical="top"/>
    </xf>
    <xf numFmtId="0" fontId="3" fillId="0" borderId="6" xfId="0" applyFont="1" applyBorder="1" applyAlignment="1">
      <alignment horizontal="center" vertical="top" wrapText="1"/>
    </xf>
    <xf numFmtId="0" fontId="3" fillId="0" borderId="7" xfId="0" applyFont="1" applyBorder="1" applyAlignment="1">
      <alignment horizontal="center" vertical="top" wrapText="1"/>
    </xf>
    <xf numFmtId="0" fontId="3" fillId="0" borderId="8" xfId="0" applyFont="1" applyBorder="1" applyAlignment="1">
      <alignment horizontal="center" vertical="top" wrapText="1"/>
    </xf>
    <xf numFmtId="0" fontId="4" fillId="0" borderId="6" xfId="0" applyFont="1" applyBorder="1" applyAlignment="1">
      <alignment horizontal="center" vertical="top" wrapText="1"/>
    </xf>
    <xf numFmtId="0" fontId="4" fillId="0" borderId="7" xfId="0" applyFont="1" applyBorder="1" applyAlignment="1">
      <alignment horizontal="center" vertical="top" wrapText="1"/>
    </xf>
    <xf numFmtId="0" fontId="4" fillId="0" borderId="8" xfId="0" applyFont="1" applyBorder="1" applyAlignment="1">
      <alignment horizontal="center" vertical="top" wrapText="1"/>
    </xf>
    <xf numFmtId="0" fontId="4" fillId="0" borderId="1" xfId="0" applyFont="1" applyBorder="1" applyAlignment="1">
      <alignment horizontal="center" vertical="top"/>
    </xf>
    <xf numFmtId="0" fontId="4"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2F75B5"/>
      <color rgb="FFFEF2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6" Type="http://schemas.openxmlformats.org/officeDocument/2006/relationships/image" Target="../media/image7.emf"/><Relationship Id="rId1" Type="http://schemas.openxmlformats.org/officeDocument/2006/relationships/image" Target="../media/image2.emf"/><Relationship Id="rId5" Type="http://schemas.openxmlformats.org/officeDocument/2006/relationships/image" Target="../media/image6.emf"/><Relationship Id="rId4"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190500</xdr:colOff>
          <xdr:row>2</xdr:row>
          <xdr:rowOff>152400</xdr:rowOff>
        </xdr:from>
        <xdr:to>
          <xdr:col>7</xdr:col>
          <xdr:colOff>1593850</xdr:colOff>
          <xdr:row>2</xdr:row>
          <xdr:rowOff>876300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2</xdr:row>
          <xdr:rowOff>977900</xdr:rowOff>
        </xdr:from>
        <xdr:to>
          <xdr:col>7</xdr:col>
          <xdr:colOff>1587500</xdr:colOff>
          <xdr:row>2</xdr:row>
          <xdr:rowOff>1651000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2</xdr:row>
          <xdr:rowOff>1695450</xdr:rowOff>
        </xdr:from>
        <xdr:to>
          <xdr:col>7</xdr:col>
          <xdr:colOff>1587500</xdr:colOff>
          <xdr:row>2</xdr:row>
          <xdr:rowOff>2222500</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330200</xdr:colOff>
          <xdr:row>2</xdr:row>
          <xdr:rowOff>2413000</xdr:rowOff>
        </xdr:from>
        <xdr:to>
          <xdr:col>7</xdr:col>
          <xdr:colOff>1600200</xdr:colOff>
          <xdr:row>2</xdr:row>
          <xdr:rowOff>2940050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3</xdr:row>
          <xdr:rowOff>184150</xdr:rowOff>
        </xdr:from>
        <xdr:to>
          <xdr:col>7</xdr:col>
          <xdr:colOff>1555750</xdr:colOff>
          <xdr:row>3</xdr:row>
          <xdr:rowOff>711200</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273050</xdr:colOff>
          <xdr:row>3</xdr:row>
          <xdr:rowOff>1098550</xdr:rowOff>
        </xdr:from>
        <xdr:to>
          <xdr:col>7</xdr:col>
          <xdr:colOff>1409700</xdr:colOff>
          <xdr:row>3</xdr:row>
          <xdr:rowOff>1955800</xdr:rowOff>
        </xdr:to>
        <xdr:sp macro="" textlink="">
          <xdr:nvSpPr>
            <xdr:cNvPr id="1031" name="Object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6.emf"/><Relationship Id="rId3" Type="http://schemas.openxmlformats.org/officeDocument/2006/relationships/vmlDrawing" Target="../drawings/vmlDrawing1.vml"/><Relationship Id="rId7" Type="http://schemas.openxmlformats.org/officeDocument/2006/relationships/image" Target="../media/image3.emf"/><Relationship Id="rId12" Type="http://schemas.openxmlformats.org/officeDocument/2006/relationships/oleObject" Target="../embeddings/oleObject5.bin"/><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oleObject" Target="../embeddings/oleObject2.bin"/><Relationship Id="rId11" Type="http://schemas.openxmlformats.org/officeDocument/2006/relationships/image" Target="../media/image5.emf"/><Relationship Id="rId5" Type="http://schemas.openxmlformats.org/officeDocument/2006/relationships/image" Target="../media/image2.emf"/><Relationship Id="rId15" Type="http://schemas.openxmlformats.org/officeDocument/2006/relationships/image" Target="../media/image7.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4.emf"/><Relationship Id="rId14" Type="http://schemas.openxmlformats.org/officeDocument/2006/relationships/oleObject" Target="../embeddings/oleObject6.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9701C-ED9D-4EAE-ACDC-0D6DA38957EC}">
  <dimension ref="B2:N19"/>
  <sheetViews>
    <sheetView zoomScale="90" zoomScaleNormal="90" workbookViewId="0">
      <pane xSplit="5" ySplit="2" topLeftCell="F10" activePane="bottomRight" state="frozen"/>
      <selection pane="bottomRight" activeCell="B11" sqref="B11"/>
      <selection pane="bottomLeft" activeCell="A3" sqref="A3"/>
      <selection pane="topRight" activeCell="D1" sqref="D1"/>
    </sheetView>
  </sheetViews>
  <sheetFormatPr defaultRowHeight="14.45"/>
  <cols>
    <col min="2" max="3" width="8.7109375" style="29"/>
    <col min="4" max="4" width="15.85546875" style="29" customWidth="1"/>
    <col min="5" max="5" width="8.7109375" style="29"/>
    <col min="6" max="6" width="22.140625" style="28" customWidth="1"/>
    <col min="7" max="7" width="37.85546875" style="28" customWidth="1"/>
    <col min="8" max="8" width="13.140625" style="29" customWidth="1"/>
    <col min="9" max="9" width="13.5703125" style="29" customWidth="1"/>
    <col min="10" max="10" width="14.140625" style="29" customWidth="1"/>
    <col min="11" max="11" width="14.85546875" style="29" customWidth="1"/>
    <col min="12" max="12" width="32.42578125" customWidth="1"/>
    <col min="13" max="13" width="33.42578125" customWidth="1"/>
    <col min="14" max="14" width="21.85546875" customWidth="1"/>
  </cols>
  <sheetData>
    <row r="2" spans="2:14" ht="27.95" customHeight="1">
      <c r="B2" s="37" t="s">
        <v>0</v>
      </c>
      <c r="C2" s="37" t="s">
        <v>1</v>
      </c>
      <c r="D2" s="37" t="s">
        <v>2</v>
      </c>
      <c r="E2" s="37" t="s">
        <v>3</v>
      </c>
      <c r="F2" s="37" t="s">
        <v>4</v>
      </c>
      <c r="G2" s="37" t="s">
        <v>5</v>
      </c>
      <c r="H2" s="37" t="s">
        <v>6</v>
      </c>
      <c r="I2" s="37" t="s">
        <v>7</v>
      </c>
      <c r="J2" s="37" t="s">
        <v>8</v>
      </c>
      <c r="K2" s="37" t="s">
        <v>9</v>
      </c>
      <c r="L2" s="37" t="s">
        <v>10</v>
      </c>
      <c r="M2" s="37" t="s">
        <v>11</v>
      </c>
      <c r="N2" s="37" t="s">
        <v>12</v>
      </c>
    </row>
    <row r="3" spans="2:14" ht="246.95">
      <c r="B3" s="20" t="s">
        <v>13</v>
      </c>
      <c r="C3" s="20" t="s">
        <v>14</v>
      </c>
      <c r="D3" s="20" t="s">
        <v>15</v>
      </c>
      <c r="E3" s="20" t="s">
        <v>16</v>
      </c>
      <c r="F3" s="21" t="s">
        <v>17</v>
      </c>
      <c r="G3" s="21" t="s">
        <v>18</v>
      </c>
      <c r="H3" s="20" t="s">
        <v>19</v>
      </c>
      <c r="I3" s="20" t="s">
        <v>20</v>
      </c>
      <c r="J3" s="20" t="s">
        <v>21</v>
      </c>
      <c r="K3" s="20" t="s">
        <v>22</v>
      </c>
      <c r="L3" s="24" t="s">
        <v>23</v>
      </c>
      <c r="M3" s="24" t="s">
        <v>24</v>
      </c>
      <c r="N3" s="20" t="s">
        <v>25</v>
      </c>
    </row>
    <row r="4" spans="2:14" ht="198.6" customHeight="1">
      <c r="B4" s="20" t="s">
        <v>26</v>
      </c>
      <c r="C4" s="20" t="s">
        <v>14</v>
      </c>
      <c r="D4" s="20" t="s">
        <v>15</v>
      </c>
      <c r="E4" s="20" t="s">
        <v>27</v>
      </c>
      <c r="F4" s="21" t="s">
        <v>28</v>
      </c>
      <c r="G4" s="21" t="s">
        <v>29</v>
      </c>
      <c r="H4" s="20" t="s">
        <v>30</v>
      </c>
      <c r="I4" s="20" t="s">
        <v>31</v>
      </c>
      <c r="J4" s="20" t="s">
        <v>32</v>
      </c>
      <c r="K4" s="20" t="s">
        <v>33</v>
      </c>
      <c r="L4" s="24" t="s">
        <v>34</v>
      </c>
      <c r="M4" s="15" t="s">
        <v>35</v>
      </c>
      <c r="N4" s="20" t="s">
        <v>25</v>
      </c>
    </row>
    <row r="5" spans="2:14" ht="377.1">
      <c r="B5" s="20" t="s">
        <v>36</v>
      </c>
      <c r="C5" s="20" t="s">
        <v>14</v>
      </c>
      <c r="D5" s="20" t="s">
        <v>15</v>
      </c>
      <c r="E5" s="20" t="s">
        <v>37</v>
      </c>
      <c r="F5" s="21" t="s">
        <v>38</v>
      </c>
      <c r="G5" s="21" t="s">
        <v>39</v>
      </c>
      <c r="H5" s="20" t="s">
        <v>40</v>
      </c>
      <c r="I5" s="20" t="s">
        <v>41</v>
      </c>
      <c r="J5" s="20" t="s">
        <v>42</v>
      </c>
      <c r="K5" s="20" t="s">
        <v>43</v>
      </c>
      <c r="L5" s="24" t="s">
        <v>44</v>
      </c>
      <c r="M5" s="15" t="s">
        <v>45</v>
      </c>
      <c r="N5" s="20" t="s">
        <v>25</v>
      </c>
    </row>
    <row r="6" spans="2:14" ht="324.95">
      <c r="B6" s="20" t="s">
        <v>46</v>
      </c>
      <c r="C6" s="20" t="s">
        <v>14</v>
      </c>
      <c r="D6" s="20" t="s">
        <v>15</v>
      </c>
      <c r="E6" s="20" t="s">
        <v>37</v>
      </c>
      <c r="F6" s="21" t="s">
        <v>47</v>
      </c>
      <c r="G6" s="21" t="s">
        <v>48</v>
      </c>
      <c r="H6" s="20" t="s">
        <v>19</v>
      </c>
      <c r="I6" s="20" t="s">
        <v>41</v>
      </c>
      <c r="J6" s="20" t="s">
        <v>42</v>
      </c>
      <c r="K6" s="20" t="s">
        <v>49</v>
      </c>
      <c r="L6" s="24" t="s">
        <v>50</v>
      </c>
      <c r="M6" s="15" t="s">
        <v>45</v>
      </c>
      <c r="N6" s="20" t="s">
        <v>25</v>
      </c>
    </row>
    <row r="7" spans="2:14">
      <c r="B7" s="20" t="s">
        <v>51</v>
      </c>
      <c r="C7" s="20" t="s">
        <v>14</v>
      </c>
      <c r="D7" s="20" t="s">
        <v>15</v>
      </c>
      <c r="E7" s="20" t="s">
        <v>52</v>
      </c>
      <c r="F7" s="21" t="s">
        <v>53</v>
      </c>
      <c r="G7" s="21" t="s">
        <v>54</v>
      </c>
      <c r="H7" s="20" t="s">
        <v>19</v>
      </c>
      <c r="I7" s="20" t="s">
        <v>41</v>
      </c>
      <c r="J7" s="20" t="s">
        <v>42</v>
      </c>
      <c r="K7" s="20" t="s">
        <v>22</v>
      </c>
      <c r="L7" s="11"/>
      <c r="M7" s="11" t="s">
        <v>55</v>
      </c>
      <c r="N7" s="20" t="s">
        <v>25</v>
      </c>
    </row>
    <row r="8" spans="2:14" ht="104.1">
      <c r="B8" s="20" t="s">
        <v>56</v>
      </c>
      <c r="C8" s="20" t="s">
        <v>14</v>
      </c>
      <c r="D8" s="20" t="s">
        <v>57</v>
      </c>
      <c r="E8" s="20" t="s">
        <v>52</v>
      </c>
      <c r="F8" s="21" t="s">
        <v>58</v>
      </c>
      <c r="G8" s="21" t="s">
        <v>59</v>
      </c>
      <c r="H8" s="20" t="s">
        <v>19</v>
      </c>
      <c r="I8" s="20" t="s">
        <v>41</v>
      </c>
      <c r="J8" s="20" t="s">
        <v>42</v>
      </c>
      <c r="K8" s="20" t="s">
        <v>22</v>
      </c>
      <c r="L8" s="15" t="s">
        <v>60</v>
      </c>
      <c r="M8" s="11" t="s">
        <v>55</v>
      </c>
      <c r="N8" s="54" t="s">
        <v>25</v>
      </c>
    </row>
    <row r="9" spans="2:14" ht="182.1">
      <c r="B9" s="20" t="s">
        <v>61</v>
      </c>
      <c r="C9" s="20" t="s">
        <v>14</v>
      </c>
      <c r="D9" s="20" t="s">
        <v>57</v>
      </c>
      <c r="E9" s="20" t="s">
        <v>52</v>
      </c>
      <c r="F9" s="21" t="s">
        <v>62</v>
      </c>
      <c r="G9" s="21" t="s">
        <v>63</v>
      </c>
      <c r="H9" s="20" t="s">
        <v>19</v>
      </c>
      <c r="I9" s="20" t="s">
        <v>41</v>
      </c>
      <c r="J9" s="20" t="s">
        <v>42</v>
      </c>
      <c r="K9" s="20" t="s">
        <v>22</v>
      </c>
      <c r="L9" s="15" t="s">
        <v>64</v>
      </c>
      <c r="M9" s="11" t="s">
        <v>55</v>
      </c>
      <c r="N9" s="54" t="s">
        <v>25</v>
      </c>
    </row>
    <row r="10" spans="2:14" ht="182.1">
      <c r="B10" s="20" t="s">
        <v>65</v>
      </c>
      <c r="C10" s="20" t="s">
        <v>14</v>
      </c>
      <c r="D10" s="20" t="s">
        <v>66</v>
      </c>
      <c r="E10" s="20" t="s">
        <v>52</v>
      </c>
      <c r="F10" s="20" t="s">
        <v>67</v>
      </c>
      <c r="G10" s="21" t="s">
        <v>68</v>
      </c>
      <c r="H10" s="20" t="s">
        <v>19</v>
      </c>
      <c r="I10" s="20" t="s">
        <v>41</v>
      </c>
      <c r="J10" s="20" t="s">
        <v>42</v>
      </c>
      <c r="K10" s="20" t="s">
        <v>22</v>
      </c>
      <c r="L10" s="15" t="s">
        <v>69</v>
      </c>
      <c r="M10" s="11" t="s">
        <v>55</v>
      </c>
      <c r="N10" s="20" t="s">
        <v>25</v>
      </c>
    </row>
    <row r="11" spans="2:14" ht="207.95">
      <c r="B11" s="59" t="s">
        <v>70</v>
      </c>
      <c r="C11" s="59" t="s">
        <v>14</v>
      </c>
      <c r="D11" s="59" t="s">
        <v>71</v>
      </c>
      <c r="E11" s="59" t="s">
        <v>52</v>
      </c>
      <c r="F11" s="59" t="s">
        <v>72</v>
      </c>
      <c r="G11" s="60" t="s">
        <v>73</v>
      </c>
      <c r="H11" s="59" t="s">
        <v>19</v>
      </c>
      <c r="I11" s="59" t="s">
        <v>41</v>
      </c>
      <c r="J11" s="59" t="s">
        <v>42</v>
      </c>
      <c r="K11" s="59" t="s">
        <v>22</v>
      </c>
      <c r="L11" s="40" t="s">
        <v>74</v>
      </c>
      <c r="M11" s="59" t="s">
        <v>55</v>
      </c>
      <c r="N11" s="59" t="s">
        <v>25</v>
      </c>
    </row>
    <row r="12" spans="2:14" ht="196.5" customHeight="1">
      <c r="B12" s="53" t="s">
        <v>75</v>
      </c>
      <c r="C12" s="53" t="s">
        <v>14</v>
      </c>
      <c r="D12" s="53" t="s">
        <v>71</v>
      </c>
      <c r="E12" s="53" t="s">
        <v>52</v>
      </c>
      <c r="F12" s="59" t="s">
        <v>76</v>
      </c>
      <c r="G12" s="60" t="s">
        <v>77</v>
      </c>
      <c r="H12" s="53" t="s">
        <v>19</v>
      </c>
      <c r="I12" s="59" t="s">
        <v>41</v>
      </c>
      <c r="J12" s="59" t="s">
        <v>42</v>
      </c>
      <c r="K12" s="53" t="s">
        <v>22</v>
      </c>
      <c r="L12" s="40" t="s">
        <v>78</v>
      </c>
      <c r="M12" s="59" t="s">
        <v>55</v>
      </c>
      <c r="N12" s="59" t="s">
        <v>25</v>
      </c>
    </row>
    <row r="13" spans="2:14" ht="129.94999999999999">
      <c r="B13" s="53" t="s">
        <v>79</v>
      </c>
      <c r="C13" s="53" t="s">
        <v>14</v>
      </c>
      <c r="D13" s="53" t="s">
        <v>71</v>
      </c>
      <c r="E13" s="53" t="s">
        <v>52</v>
      </c>
      <c r="F13" s="59" t="s">
        <v>80</v>
      </c>
      <c r="G13" s="60" t="s">
        <v>81</v>
      </c>
      <c r="H13" s="53" t="s">
        <v>19</v>
      </c>
      <c r="I13" s="53" t="s">
        <v>41</v>
      </c>
      <c r="J13" s="53" t="s">
        <v>42</v>
      </c>
      <c r="K13" s="53" t="s">
        <v>22</v>
      </c>
      <c r="L13" s="40" t="s">
        <v>82</v>
      </c>
      <c r="M13" s="59" t="s">
        <v>55</v>
      </c>
      <c r="N13" s="59" t="s">
        <v>25</v>
      </c>
    </row>
    <row r="14" spans="2:14" ht="246.95">
      <c r="B14" s="53" t="s">
        <v>83</v>
      </c>
      <c r="C14" s="53" t="s">
        <v>14</v>
      </c>
      <c r="D14" s="53" t="s">
        <v>71</v>
      </c>
      <c r="E14" s="53" t="s">
        <v>52</v>
      </c>
      <c r="F14" s="53" t="s">
        <v>84</v>
      </c>
      <c r="G14" s="60" t="s">
        <v>85</v>
      </c>
      <c r="H14" s="53" t="s">
        <v>19</v>
      </c>
      <c r="I14" s="53" t="s">
        <v>41</v>
      </c>
      <c r="J14" s="53" t="s">
        <v>42</v>
      </c>
      <c r="K14" s="53" t="s">
        <v>22</v>
      </c>
      <c r="L14" s="40" t="s">
        <v>86</v>
      </c>
      <c r="M14" s="59" t="s">
        <v>55</v>
      </c>
      <c r="N14" s="59" t="s">
        <v>25</v>
      </c>
    </row>
    <row r="15" spans="2:14" ht="104.1">
      <c r="B15" s="53" t="s">
        <v>87</v>
      </c>
      <c r="C15" s="53" t="s">
        <v>14</v>
      </c>
      <c r="D15" s="53" t="s">
        <v>71</v>
      </c>
      <c r="E15" s="53" t="s">
        <v>52</v>
      </c>
      <c r="F15" s="59" t="s">
        <v>88</v>
      </c>
      <c r="G15" s="60" t="s">
        <v>89</v>
      </c>
      <c r="H15" s="53" t="s">
        <v>19</v>
      </c>
      <c r="I15" s="53" t="s">
        <v>41</v>
      </c>
      <c r="J15" s="53" t="s">
        <v>42</v>
      </c>
      <c r="K15" s="53" t="s">
        <v>22</v>
      </c>
      <c r="L15" s="40" t="s">
        <v>90</v>
      </c>
      <c r="M15" s="59" t="s">
        <v>55</v>
      </c>
      <c r="N15" s="59" t="s">
        <v>25</v>
      </c>
    </row>
    <row r="16" spans="2:14" s="25" customFormat="1" ht="104.1">
      <c r="B16" s="53" t="s">
        <v>91</v>
      </c>
      <c r="C16" s="53" t="s">
        <v>14</v>
      </c>
      <c r="D16" s="53" t="s">
        <v>71</v>
      </c>
      <c r="E16" s="53" t="s">
        <v>52</v>
      </c>
      <c r="F16" s="53" t="s">
        <v>92</v>
      </c>
      <c r="G16" s="60" t="s">
        <v>93</v>
      </c>
      <c r="H16" s="53" t="s">
        <v>19</v>
      </c>
      <c r="I16" s="53" t="s">
        <v>41</v>
      </c>
      <c r="J16" s="53" t="s">
        <v>42</v>
      </c>
      <c r="K16" s="53" t="s">
        <v>22</v>
      </c>
      <c r="L16" s="40" t="s">
        <v>94</v>
      </c>
      <c r="M16" s="59" t="s">
        <v>55</v>
      </c>
      <c r="N16" s="59" t="s">
        <v>25</v>
      </c>
    </row>
    <row r="17" spans="2:14" ht="182.1">
      <c r="B17" s="53" t="s">
        <v>95</v>
      </c>
      <c r="C17" s="53" t="s">
        <v>14</v>
      </c>
      <c r="D17" s="53" t="s">
        <v>71</v>
      </c>
      <c r="E17" s="53" t="s">
        <v>52</v>
      </c>
      <c r="F17" s="53" t="s">
        <v>96</v>
      </c>
      <c r="G17" s="60" t="s">
        <v>97</v>
      </c>
      <c r="H17" s="53" t="s">
        <v>19</v>
      </c>
      <c r="I17" s="53" t="s">
        <v>41</v>
      </c>
      <c r="J17" s="53" t="s">
        <v>42</v>
      </c>
      <c r="K17" s="53" t="s">
        <v>22</v>
      </c>
      <c r="L17" s="40" t="s">
        <v>98</v>
      </c>
      <c r="M17" s="59" t="s">
        <v>55</v>
      </c>
      <c r="N17" s="59" t="s">
        <v>25</v>
      </c>
    </row>
    <row r="18" spans="2:14" ht="51.95">
      <c r="B18" s="53" t="s">
        <v>99</v>
      </c>
      <c r="C18" s="53" t="s">
        <v>14</v>
      </c>
      <c r="D18" s="53" t="s">
        <v>71</v>
      </c>
      <c r="E18" s="53" t="s">
        <v>52</v>
      </c>
      <c r="F18" s="53" t="s">
        <v>100</v>
      </c>
      <c r="G18" s="60" t="s">
        <v>101</v>
      </c>
      <c r="H18" s="53" t="s">
        <v>19</v>
      </c>
      <c r="I18" s="53" t="s">
        <v>41</v>
      </c>
      <c r="J18" s="53" t="s">
        <v>42</v>
      </c>
      <c r="K18" s="53" t="s">
        <v>22</v>
      </c>
      <c r="L18" s="40" t="s">
        <v>102</v>
      </c>
      <c r="M18" s="59" t="s">
        <v>55</v>
      </c>
      <c r="N18" s="59" t="s">
        <v>25</v>
      </c>
    </row>
    <row r="19" spans="2:14" ht="207.95">
      <c r="B19" s="53" t="s">
        <v>103</v>
      </c>
      <c r="C19" s="53" t="s">
        <v>14</v>
      </c>
      <c r="D19" s="53" t="s">
        <v>71</v>
      </c>
      <c r="E19" s="53" t="s">
        <v>52</v>
      </c>
      <c r="F19" s="53" t="s">
        <v>104</v>
      </c>
      <c r="G19" s="60" t="s">
        <v>105</v>
      </c>
      <c r="H19" s="53" t="s">
        <v>19</v>
      </c>
      <c r="I19" s="59" t="s">
        <v>31</v>
      </c>
      <c r="J19" s="59" t="s">
        <v>106</v>
      </c>
      <c r="K19" s="53" t="s">
        <v>22</v>
      </c>
      <c r="L19" s="40" t="s">
        <v>107</v>
      </c>
      <c r="M19" s="59" t="s">
        <v>55</v>
      </c>
      <c r="N19" s="59" t="s">
        <v>25</v>
      </c>
    </row>
  </sheetData>
  <autoFilter ref="B2:N9" xr:uid="{9864554D-5725-4ABA-9CE5-A9FC328092B1}"/>
  <pageMargins left="0.7" right="0.7" top="0.75" bottom="0.75" header="0.3" footer="0.3"/>
  <pageSetup orientation="portrait" r:id="rId1"/>
  <headerFooter>
    <oddFooter>&amp;L2/24/2025&amp;CAXP Internal&amp;R4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7B4A4-6836-48BD-A1BA-A323381DA555}">
  <dimension ref="B8:J17"/>
  <sheetViews>
    <sheetView topLeftCell="A3" zoomScale="90" zoomScaleNormal="90" workbookViewId="0">
      <selection activeCell="J13" sqref="J13"/>
    </sheetView>
  </sheetViews>
  <sheetFormatPr defaultColWidth="8.7109375" defaultRowHeight="14.45"/>
  <cols>
    <col min="1" max="1" width="8.7109375" style="30"/>
    <col min="2" max="2" width="12.140625" style="30" customWidth="1"/>
    <col min="3" max="3" width="100" style="34" customWidth="1"/>
    <col min="4" max="16384" width="8.7109375" style="30"/>
  </cols>
  <sheetData>
    <row r="8" spans="2:10" ht="30.95">
      <c r="B8" s="31" t="s">
        <v>108</v>
      </c>
      <c r="C8" s="32" t="s">
        <v>109</v>
      </c>
      <c r="I8" s="30">
        <v>31</v>
      </c>
      <c r="J8" s="30">
        <v>16500</v>
      </c>
    </row>
    <row r="9" spans="2:10">
      <c r="B9" s="33"/>
      <c r="I9" s="30">
        <v>1</v>
      </c>
      <c r="J9" s="30">
        <f>J8/I8</f>
        <v>532.25806451612902</v>
      </c>
    </row>
    <row r="10" spans="2:10" ht="159.6">
      <c r="B10" s="35" t="s">
        <v>110</v>
      </c>
      <c r="C10" s="34" t="s">
        <v>111</v>
      </c>
      <c r="I10" s="30">
        <v>2.5</v>
      </c>
      <c r="J10" s="30">
        <f>J9*I10</f>
        <v>1330.6451612903224</v>
      </c>
    </row>
    <row r="11" spans="2:10">
      <c r="B11" s="33"/>
      <c r="J11" s="30">
        <f>J8-J10</f>
        <v>15169.354838709678</v>
      </c>
    </row>
    <row r="12" spans="2:10" ht="43.5">
      <c r="B12" s="35" t="s">
        <v>112</v>
      </c>
      <c r="C12" s="34" t="s">
        <v>113</v>
      </c>
      <c r="J12" s="30">
        <f>J11-5000</f>
        <v>10169.354838709678</v>
      </c>
    </row>
    <row r="13" spans="2:10">
      <c r="B13" s="33"/>
    </row>
    <row r="14" spans="2:10" ht="29.1">
      <c r="B14" s="35" t="s">
        <v>114</v>
      </c>
      <c r="C14" s="34" t="s">
        <v>115</v>
      </c>
    </row>
    <row r="15" spans="2:10">
      <c r="B15" s="33"/>
    </row>
    <row r="16" spans="2:10" ht="43.5">
      <c r="B16" s="35" t="s">
        <v>116</v>
      </c>
      <c r="C16" s="34" t="s">
        <v>117</v>
      </c>
    </row>
    <row r="17" spans="2:2">
      <c r="B17" s="33"/>
    </row>
  </sheetData>
  <pageMargins left="0.7" right="0.7" top="0.75" bottom="0.75" header="0.3" footer="0.3"/>
  <pageSetup orientation="portrait" r:id="rId1"/>
  <headerFooter>
    <oddFooter>&amp;L2/24/2025&amp;CAXP Internal&amp;R1</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39E6A-89F2-480D-9B38-719DDD51E03E}">
  <dimension ref="A1:H7"/>
  <sheetViews>
    <sheetView topLeftCell="A3" zoomScale="90" zoomScaleNormal="90" workbookViewId="0">
      <selection activeCell="E5" sqref="E5"/>
    </sheetView>
  </sheetViews>
  <sheetFormatPr defaultColWidth="8.7109375" defaultRowHeight="12.95"/>
  <cols>
    <col min="1" max="2" width="8.7109375" style="1"/>
    <col min="3" max="3" width="52.85546875" style="1" customWidth="1"/>
    <col min="4" max="5" width="17.140625" style="1" customWidth="1"/>
    <col min="6" max="6" width="19.7109375" style="1" customWidth="1"/>
    <col min="7" max="7" width="16.28515625" style="1" customWidth="1"/>
    <col min="8" max="8" width="24.140625" style="1" customWidth="1"/>
    <col min="9" max="16384" width="8.7109375" style="1"/>
  </cols>
  <sheetData>
    <row r="1" spans="1:8" ht="13.5" thickBot="1"/>
    <row r="2" spans="1:8" ht="26.45" thickBot="1">
      <c r="B2" s="36" t="s">
        <v>118</v>
      </c>
      <c r="C2" s="36" t="s">
        <v>5</v>
      </c>
      <c r="D2" s="36" t="s">
        <v>119</v>
      </c>
      <c r="E2" s="36" t="s">
        <v>120</v>
      </c>
      <c r="F2" s="36" t="s">
        <v>121</v>
      </c>
      <c r="G2" s="36" t="s">
        <v>122</v>
      </c>
      <c r="H2" s="36" t="s">
        <v>123</v>
      </c>
    </row>
    <row r="3" spans="1:8" ht="258.60000000000002" customHeight="1">
      <c r="B3" s="55" t="s">
        <v>124</v>
      </c>
      <c r="C3" s="52" t="s">
        <v>125</v>
      </c>
      <c r="D3" s="52" t="s">
        <v>126</v>
      </c>
      <c r="E3" s="52" t="s">
        <v>127</v>
      </c>
      <c r="F3" s="56">
        <v>45579</v>
      </c>
      <c r="G3" s="52" t="s">
        <v>128</v>
      </c>
      <c r="H3" s="13"/>
    </row>
    <row r="4" spans="1:8" ht="409.5">
      <c r="A4" s="50"/>
      <c r="B4" s="55" t="s">
        <v>129</v>
      </c>
      <c r="C4" s="15" t="s">
        <v>130</v>
      </c>
      <c r="D4" s="52" t="s">
        <v>126</v>
      </c>
      <c r="E4" s="52" t="s">
        <v>131</v>
      </c>
      <c r="F4" s="56">
        <v>45340</v>
      </c>
      <c r="G4" s="15" t="s">
        <v>132</v>
      </c>
      <c r="H4" s="13"/>
    </row>
    <row r="5" spans="1:8" ht="221.1">
      <c r="B5" s="55" t="s">
        <v>133</v>
      </c>
      <c r="C5" s="15" t="s">
        <v>134</v>
      </c>
      <c r="D5" s="52" t="s">
        <v>126</v>
      </c>
      <c r="E5" s="52" t="s">
        <v>135</v>
      </c>
      <c r="F5" s="13"/>
      <c r="G5" s="15" t="s">
        <v>132</v>
      </c>
      <c r="H5" s="13"/>
    </row>
    <row r="6" spans="1:8">
      <c r="B6" s="13"/>
      <c r="C6" s="13"/>
      <c r="D6" s="13"/>
      <c r="E6" s="13"/>
      <c r="F6" s="13"/>
      <c r="G6" s="13"/>
      <c r="H6" s="13"/>
    </row>
    <row r="7" spans="1:8">
      <c r="B7" s="13"/>
      <c r="C7" s="13"/>
      <c r="D7" s="13"/>
      <c r="E7" s="13"/>
      <c r="F7" s="13"/>
      <c r="G7" s="13"/>
      <c r="H7" s="13"/>
    </row>
  </sheetData>
  <pageMargins left="0.7" right="0.7" top="0.75" bottom="0.75" header="0.3" footer="0.3"/>
  <pageSetup orientation="portrait" r:id="rId1"/>
  <headerFooter>
    <oddFooter>&amp;L2/24/2025&amp;CAXP Internal&amp;R2</oddFooter>
  </headerFooter>
  <drawing r:id="rId2"/>
  <legacyDrawing r:id="rId3"/>
  <oleObjects>
    <mc:AlternateContent xmlns:mc="http://schemas.openxmlformats.org/markup-compatibility/2006">
      <mc:Choice Requires="x14">
        <oleObject progId="Packager Shell Object" dvAspect="DVASPECT_ICON" shapeId="1025" r:id="rId4">
          <objectPr defaultSize="0" autoPict="0" r:id="rId5">
            <anchor moveWithCells="1">
              <from>
                <xdr:col>7</xdr:col>
                <xdr:colOff>190500</xdr:colOff>
                <xdr:row>2</xdr:row>
                <xdr:rowOff>152400</xdr:rowOff>
              </from>
              <to>
                <xdr:col>7</xdr:col>
                <xdr:colOff>1593850</xdr:colOff>
                <xdr:row>2</xdr:row>
                <xdr:rowOff>876300</xdr:rowOff>
              </to>
            </anchor>
          </objectPr>
        </oleObject>
      </mc:Choice>
      <mc:Fallback>
        <oleObject progId="Packager Shell Object" dvAspect="DVASPECT_ICON" shapeId="1025" r:id="rId4"/>
      </mc:Fallback>
    </mc:AlternateContent>
    <mc:AlternateContent xmlns:mc="http://schemas.openxmlformats.org/markup-compatibility/2006">
      <mc:Choice Requires="x14">
        <oleObject progId="Packager Shell Object" dvAspect="DVASPECT_ICON" shapeId="1027" r:id="rId6">
          <objectPr defaultSize="0" autoPict="0" r:id="rId7">
            <anchor moveWithCells="1">
              <from>
                <xdr:col>7</xdr:col>
                <xdr:colOff>209550</xdr:colOff>
                <xdr:row>2</xdr:row>
                <xdr:rowOff>977900</xdr:rowOff>
              </from>
              <to>
                <xdr:col>7</xdr:col>
                <xdr:colOff>1587500</xdr:colOff>
                <xdr:row>2</xdr:row>
                <xdr:rowOff>1651000</xdr:rowOff>
              </to>
            </anchor>
          </objectPr>
        </oleObject>
      </mc:Choice>
      <mc:Fallback>
        <oleObject progId="Packager Shell Object" dvAspect="DVASPECT_ICON" shapeId="1027" r:id="rId6"/>
      </mc:Fallback>
    </mc:AlternateContent>
    <mc:AlternateContent xmlns:mc="http://schemas.openxmlformats.org/markup-compatibility/2006">
      <mc:Choice Requires="x14">
        <oleObject progId="Packager Shell Object" dvAspect="DVASPECT_ICON" shapeId="1028" r:id="rId8">
          <objectPr defaultSize="0" r:id="rId9">
            <anchor moveWithCells="1">
              <from>
                <xdr:col>7</xdr:col>
                <xdr:colOff>209550</xdr:colOff>
                <xdr:row>2</xdr:row>
                <xdr:rowOff>1695450</xdr:rowOff>
              </from>
              <to>
                <xdr:col>7</xdr:col>
                <xdr:colOff>1587500</xdr:colOff>
                <xdr:row>2</xdr:row>
                <xdr:rowOff>2222500</xdr:rowOff>
              </to>
            </anchor>
          </objectPr>
        </oleObject>
      </mc:Choice>
      <mc:Fallback>
        <oleObject progId="Packager Shell Object" dvAspect="DVASPECT_ICON" shapeId="1028" r:id="rId8"/>
      </mc:Fallback>
    </mc:AlternateContent>
    <mc:AlternateContent xmlns:mc="http://schemas.openxmlformats.org/markup-compatibility/2006">
      <mc:Choice Requires="x14">
        <oleObject progId="Packager Shell Object" dvAspect="DVASPECT_ICON" shapeId="1029" r:id="rId10">
          <objectPr defaultSize="0" r:id="rId11">
            <anchor moveWithCells="1">
              <from>
                <xdr:col>7</xdr:col>
                <xdr:colOff>330200</xdr:colOff>
                <xdr:row>2</xdr:row>
                <xdr:rowOff>2413000</xdr:rowOff>
              </from>
              <to>
                <xdr:col>7</xdr:col>
                <xdr:colOff>1600200</xdr:colOff>
                <xdr:row>2</xdr:row>
                <xdr:rowOff>2940050</xdr:rowOff>
              </to>
            </anchor>
          </objectPr>
        </oleObject>
      </mc:Choice>
      <mc:Fallback>
        <oleObject progId="Packager Shell Object" dvAspect="DVASPECT_ICON" shapeId="1029" r:id="rId10"/>
      </mc:Fallback>
    </mc:AlternateContent>
    <mc:AlternateContent xmlns:mc="http://schemas.openxmlformats.org/markup-compatibility/2006">
      <mc:Choice Requires="x14">
        <oleObject progId="Packager Shell Object" dvAspect="DVASPECT_ICON" shapeId="1030" r:id="rId12">
          <objectPr defaultSize="0" r:id="rId13">
            <anchor moveWithCells="1">
              <from>
                <xdr:col>7</xdr:col>
                <xdr:colOff>114300</xdr:colOff>
                <xdr:row>3</xdr:row>
                <xdr:rowOff>184150</xdr:rowOff>
              </from>
              <to>
                <xdr:col>7</xdr:col>
                <xdr:colOff>1555750</xdr:colOff>
                <xdr:row>3</xdr:row>
                <xdr:rowOff>711200</xdr:rowOff>
              </to>
            </anchor>
          </objectPr>
        </oleObject>
      </mc:Choice>
      <mc:Fallback>
        <oleObject progId="Packager Shell Object" dvAspect="DVASPECT_ICON" shapeId="1030" r:id="rId12"/>
      </mc:Fallback>
    </mc:AlternateContent>
    <mc:AlternateContent xmlns:mc="http://schemas.openxmlformats.org/markup-compatibility/2006">
      <mc:Choice Requires="x14">
        <oleObject progId="Packager Shell Object" dvAspect="DVASPECT_ICON" shapeId="1031" r:id="rId14">
          <objectPr defaultSize="0" autoPict="0" r:id="rId15">
            <anchor moveWithCells="1">
              <from>
                <xdr:col>7</xdr:col>
                <xdr:colOff>273050</xdr:colOff>
                <xdr:row>3</xdr:row>
                <xdr:rowOff>1098550</xdr:rowOff>
              </from>
              <to>
                <xdr:col>7</xdr:col>
                <xdr:colOff>1409700</xdr:colOff>
                <xdr:row>3</xdr:row>
                <xdr:rowOff>1955800</xdr:rowOff>
              </to>
            </anchor>
          </objectPr>
        </oleObject>
      </mc:Choice>
      <mc:Fallback>
        <oleObject progId="Packager Shell Object" dvAspect="DVASPECT_ICON" shapeId="1031" r:id="rId1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7D202-C937-4EC8-AF88-F21BF6162439}">
  <dimension ref="A1:L16"/>
  <sheetViews>
    <sheetView zoomScale="90" zoomScaleNormal="90" workbookViewId="0">
      <pane ySplit="3" topLeftCell="A4" activePane="bottomLeft" state="frozen"/>
      <selection pane="bottomLeft"/>
      <selection activeCell="B1" sqref="B1"/>
    </sheetView>
  </sheetViews>
  <sheetFormatPr defaultColWidth="8.7109375" defaultRowHeight="12.95"/>
  <cols>
    <col min="1" max="1" width="22.140625" style="2" customWidth="1"/>
    <col min="2" max="2" width="13.5703125" style="2" customWidth="1"/>
    <col min="3" max="3" width="20.5703125" style="2" customWidth="1"/>
    <col min="4" max="4" width="45.5703125" style="2" customWidth="1"/>
    <col min="5" max="5" width="13.85546875" style="2" bestFit="1" customWidth="1"/>
    <col min="6" max="6" width="17" style="2" customWidth="1"/>
    <col min="7" max="7" width="13.85546875" style="2" customWidth="1"/>
    <col min="8" max="8" width="31.140625" style="2" hidden="1" customWidth="1"/>
    <col min="9" max="9" width="10.85546875" style="1" bestFit="1" customWidth="1"/>
    <col min="10" max="10" width="27" style="1" customWidth="1"/>
    <col min="11" max="11" width="18.5703125" style="3" customWidth="1"/>
    <col min="12" max="16384" width="8.7109375" style="1"/>
  </cols>
  <sheetData>
    <row r="1" spans="1:12">
      <c r="A1" s="6" t="s">
        <v>136</v>
      </c>
    </row>
    <row r="2" spans="1:12" ht="30.95" customHeight="1">
      <c r="A2" s="7" t="s">
        <v>137</v>
      </c>
      <c r="B2" s="8" t="s">
        <v>138</v>
      </c>
      <c r="C2" s="9" t="s">
        <v>139</v>
      </c>
    </row>
    <row r="3" spans="1:12" s="5" customFormat="1" ht="30.95" customHeight="1">
      <c r="A3" s="37" t="s">
        <v>140</v>
      </c>
      <c r="B3" s="37" t="s">
        <v>141</v>
      </c>
      <c r="C3" s="37" t="s">
        <v>142</v>
      </c>
      <c r="D3" s="37" t="s">
        <v>143</v>
      </c>
      <c r="E3" s="37" t="s">
        <v>144</v>
      </c>
      <c r="F3" s="37" t="s">
        <v>145</v>
      </c>
      <c r="G3" s="37" t="s">
        <v>146</v>
      </c>
      <c r="H3" s="19" t="s">
        <v>147</v>
      </c>
      <c r="I3" s="37" t="s">
        <v>148</v>
      </c>
      <c r="J3" s="37" t="s">
        <v>12</v>
      </c>
      <c r="K3" s="37" t="s">
        <v>149</v>
      </c>
      <c r="L3" s="37" t="s">
        <v>150</v>
      </c>
    </row>
    <row r="4" spans="1:12" s="4" customFormat="1" ht="156">
      <c r="A4" s="42" t="s">
        <v>151</v>
      </c>
      <c r="B4" s="43">
        <v>8.1</v>
      </c>
      <c r="C4" s="44" t="s">
        <v>152</v>
      </c>
      <c r="D4" s="9" t="s">
        <v>153</v>
      </c>
      <c r="E4" s="17"/>
      <c r="F4" s="18" t="s">
        <v>154</v>
      </c>
      <c r="G4" s="18" t="s">
        <v>155</v>
      </c>
      <c r="H4" s="18" t="s">
        <v>156</v>
      </c>
      <c r="I4" s="17"/>
      <c r="J4" s="17" t="s">
        <v>25</v>
      </c>
      <c r="K4" s="17"/>
      <c r="L4" s="17"/>
    </row>
    <row r="5" spans="1:12" ht="259.5" customHeight="1">
      <c r="A5" s="42" t="s">
        <v>157</v>
      </c>
      <c r="B5" s="45" t="s">
        <v>158</v>
      </c>
      <c r="C5" s="42" t="s">
        <v>159</v>
      </c>
      <c r="D5" s="16" t="s">
        <v>160</v>
      </c>
      <c r="E5" s="46"/>
      <c r="F5" s="16" t="s">
        <v>161</v>
      </c>
      <c r="G5" s="16" t="s">
        <v>162</v>
      </c>
      <c r="H5" s="16" t="s">
        <v>163</v>
      </c>
      <c r="I5" s="11"/>
      <c r="J5" s="17" t="s">
        <v>25</v>
      </c>
      <c r="K5" s="12"/>
      <c r="L5" s="13"/>
    </row>
    <row r="6" spans="1:12" ht="363.95">
      <c r="A6" s="47" t="s">
        <v>164</v>
      </c>
      <c r="B6" s="45" t="s">
        <v>165</v>
      </c>
      <c r="C6" s="42" t="s">
        <v>166</v>
      </c>
      <c r="D6" s="15" t="s">
        <v>167</v>
      </c>
      <c r="E6" s="46"/>
      <c r="F6" s="15" t="s">
        <v>168</v>
      </c>
      <c r="G6" s="15" t="s">
        <v>169</v>
      </c>
      <c r="H6" s="15" t="s">
        <v>170</v>
      </c>
      <c r="I6" s="14"/>
      <c r="J6" s="17" t="s">
        <v>25</v>
      </c>
      <c r="K6" s="12"/>
      <c r="L6" s="13"/>
    </row>
    <row r="7" spans="1:12" ht="156">
      <c r="A7" s="47" t="s">
        <v>171</v>
      </c>
      <c r="B7" s="45" t="s">
        <v>172</v>
      </c>
      <c r="C7" s="42" t="s">
        <v>173</v>
      </c>
      <c r="D7" s="15" t="s">
        <v>174</v>
      </c>
      <c r="E7" s="46"/>
      <c r="F7" s="15" t="s">
        <v>175</v>
      </c>
      <c r="G7" s="15" t="s">
        <v>176</v>
      </c>
      <c r="H7" s="15"/>
      <c r="I7" s="11"/>
      <c r="J7" s="17" t="s">
        <v>25</v>
      </c>
      <c r="K7" s="12"/>
      <c r="L7" s="13"/>
    </row>
    <row r="8" spans="1:12" ht="104.1">
      <c r="A8" s="47" t="s">
        <v>177</v>
      </c>
      <c r="B8" s="45" t="s">
        <v>178</v>
      </c>
      <c r="C8" s="42" t="s">
        <v>179</v>
      </c>
      <c r="D8" s="15" t="s">
        <v>180</v>
      </c>
      <c r="E8" s="46"/>
      <c r="F8" s="15" t="s">
        <v>181</v>
      </c>
      <c r="G8" s="15" t="s">
        <v>182</v>
      </c>
      <c r="H8" s="15"/>
      <c r="I8" s="11"/>
      <c r="J8" s="17" t="s">
        <v>25</v>
      </c>
      <c r="K8" s="12"/>
      <c r="L8" s="13"/>
    </row>
    <row r="9" spans="1:12" ht="51.95">
      <c r="A9" s="47" t="s">
        <v>183</v>
      </c>
      <c r="B9" s="45" t="s">
        <v>184</v>
      </c>
      <c r="C9" s="42" t="s">
        <v>185</v>
      </c>
      <c r="D9" s="16" t="s">
        <v>186</v>
      </c>
      <c r="E9" s="46"/>
      <c r="F9" s="15" t="s">
        <v>187</v>
      </c>
      <c r="G9" s="15" t="s">
        <v>188</v>
      </c>
      <c r="H9" s="15"/>
      <c r="I9" s="11"/>
      <c r="J9" s="17" t="s">
        <v>25</v>
      </c>
      <c r="K9" s="12"/>
      <c r="L9" s="13"/>
    </row>
    <row r="10" spans="1:12" ht="149.1" customHeight="1">
      <c r="A10" s="47" t="s">
        <v>189</v>
      </c>
      <c r="B10" s="45">
        <v>8.1999999999999993</v>
      </c>
      <c r="C10" s="42" t="s">
        <v>190</v>
      </c>
      <c r="D10" s="48" t="s">
        <v>191</v>
      </c>
      <c r="E10" s="46"/>
      <c r="F10" s="18" t="s">
        <v>192</v>
      </c>
      <c r="G10" s="18" t="s">
        <v>193</v>
      </c>
      <c r="H10" s="18" t="s">
        <v>194</v>
      </c>
      <c r="I10" s="11"/>
      <c r="J10" s="17" t="s">
        <v>25</v>
      </c>
      <c r="K10" s="12"/>
      <c r="L10" s="13"/>
    </row>
    <row r="11" spans="1:12" ht="159.94999999999999" customHeight="1">
      <c r="A11" s="47" t="s">
        <v>195</v>
      </c>
      <c r="B11" s="45" t="s">
        <v>196</v>
      </c>
      <c r="C11" s="42" t="s">
        <v>197</v>
      </c>
      <c r="D11" s="49" t="s">
        <v>198</v>
      </c>
      <c r="E11" s="46"/>
      <c r="F11" s="15" t="s">
        <v>199</v>
      </c>
      <c r="G11" s="15" t="s">
        <v>200</v>
      </c>
      <c r="H11" s="15"/>
      <c r="I11" s="11"/>
      <c r="J11" s="17" t="s">
        <v>25</v>
      </c>
      <c r="K11" s="12"/>
      <c r="L11" s="13"/>
    </row>
    <row r="12" spans="1:12" ht="221.1">
      <c r="A12" s="47" t="s">
        <v>201</v>
      </c>
      <c r="B12" s="45" t="s">
        <v>202</v>
      </c>
      <c r="C12" s="42" t="s">
        <v>203</v>
      </c>
      <c r="D12" s="49" t="s">
        <v>204</v>
      </c>
      <c r="E12" s="46"/>
      <c r="F12" s="15" t="s">
        <v>205</v>
      </c>
      <c r="G12" s="15" t="s">
        <v>206</v>
      </c>
      <c r="H12" s="15"/>
      <c r="I12" s="11"/>
      <c r="J12" s="17" t="s">
        <v>25</v>
      </c>
      <c r="K12" s="12"/>
      <c r="L12" s="13"/>
    </row>
    <row r="13" spans="1:12" ht="65.099999999999994">
      <c r="A13" s="47" t="s">
        <v>207</v>
      </c>
      <c r="B13" s="45" t="s">
        <v>208</v>
      </c>
      <c r="C13" s="42" t="s">
        <v>209</v>
      </c>
      <c r="D13" s="49" t="s">
        <v>210</v>
      </c>
      <c r="E13" s="46"/>
      <c r="F13" s="15" t="s">
        <v>211</v>
      </c>
      <c r="G13" s="15" t="s">
        <v>212</v>
      </c>
      <c r="H13" s="15"/>
      <c r="I13" s="14"/>
      <c r="J13" s="17" t="s">
        <v>25</v>
      </c>
      <c r="K13" s="12"/>
      <c r="L13" s="13"/>
    </row>
    <row r="16" spans="1:12" ht="78" customHeight="1">
      <c r="B16" s="79" t="s">
        <v>213</v>
      </c>
      <c r="C16" s="80" t="s">
        <v>214</v>
      </c>
      <c r="D16" s="80"/>
    </row>
  </sheetData>
  <mergeCells count="1">
    <mergeCell ref="C16:D16"/>
  </mergeCells>
  <phoneticPr fontId="1" type="noConversion"/>
  <pageMargins left="0.7" right="0.7" top="0.75" bottom="0.75" header="0.3" footer="0.3"/>
  <pageSetup orientation="portrait" r:id="rId1"/>
  <headerFooter>
    <oddFooter>&amp;L2/24/2025&amp;CAXP Internal&amp;R3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4554D-5725-4ABA-9CE5-A9FC328092B1}">
  <dimension ref="B2:P19"/>
  <sheetViews>
    <sheetView tabSelected="1" zoomScale="90" zoomScaleNormal="90" workbookViewId="0">
      <pane xSplit="5" ySplit="2" topLeftCell="F16" activePane="bottomRight" state="frozen"/>
      <selection pane="bottomRight" activeCell="N17" sqref="N17"/>
      <selection pane="bottomLeft" activeCell="A3" sqref="A3"/>
      <selection pane="topRight" activeCell="D1" sqref="D1"/>
    </sheetView>
  </sheetViews>
  <sheetFormatPr defaultRowHeight="14.45"/>
  <cols>
    <col min="2" max="3" width="8.7109375" style="29"/>
    <col min="4" max="4" width="15.85546875" style="29" customWidth="1"/>
    <col min="5" max="5" width="8.7109375" style="29"/>
    <col min="6" max="6" width="22.140625" style="28" customWidth="1"/>
    <col min="7" max="7" width="44.7109375" style="28" customWidth="1"/>
    <col min="8" max="8" width="13.140625" style="29" customWidth="1"/>
    <col min="9" max="9" width="13.5703125" style="29" customWidth="1"/>
    <col min="10" max="10" width="14.140625" style="29" customWidth="1"/>
    <col min="11" max="11" width="14.85546875" style="29" customWidth="1"/>
    <col min="12" max="12" width="42.5703125" customWidth="1"/>
    <col min="13" max="13" width="33.42578125" customWidth="1"/>
    <col min="14" max="14" width="21.85546875" customWidth="1"/>
  </cols>
  <sheetData>
    <row r="2" spans="2:16" ht="27.95" customHeight="1">
      <c r="B2" s="37" t="s">
        <v>0</v>
      </c>
      <c r="C2" s="37" t="s">
        <v>1</v>
      </c>
      <c r="D2" s="37" t="s">
        <v>2</v>
      </c>
      <c r="E2" s="37" t="s">
        <v>3</v>
      </c>
      <c r="F2" s="37" t="s">
        <v>4</v>
      </c>
      <c r="G2" s="37" t="s">
        <v>5</v>
      </c>
      <c r="H2" s="37" t="s">
        <v>6</v>
      </c>
      <c r="I2" s="37" t="s">
        <v>7</v>
      </c>
      <c r="J2" s="37" t="s">
        <v>8</v>
      </c>
      <c r="K2" s="37" t="s">
        <v>9</v>
      </c>
      <c r="L2" s="37" t="s">
        <v>10</v>
      </c>
      <c r="M2" s="37" t="s">
        <v>11</v>
      </c>
      <c r="N2" s="37" t="s">
        <v>12</v>
      </c>
    </row>
    <row r="3" spans="2:16" ht="246.95">
      <c r="B3" s="20" t="s">
        <v>13</v>
      </c>
      <c r="C3" s="20" t="s">
        <v>14</v>
      </c>
      <c r="D3" s="20" t="s">
        <v>15</v>
      </c>
      <c r="E3" s="20" t="s">
        <v>16</v>
      </c>
      <c r="F3" s="21" t="s">
        <v>17</v>
      </c>
      <c r="G3" s="21" t="s">
        <v>18</v>
      </c>
      <c r="H3" s="20" t="s">
        <v>19</v>
      </c>
      <c r="I3" s="20" t="s">
        <v>20</v>
      </c>
      <c r="J3" s="20" t="s">
        <v>21</v>
      </c>
      <c r="K3" s="20" t="s">
        <v>22</v>
      </c>
      <c r="L3" s="24" t="s">
        <v>23</v>
      </c>
      <c r="M3" s="24" t="s">
        <v>24</v>
      </c>
      <c r="N3" s="20" t="s">
        <v>25</v>
      </c>
      <c r="P3" t="s">
        <v>215</v>
      </c>
    </row>
    <row r="4" spans="2:16" ht="198.6" customHeight="1">
      <c r="B4" s="20" t="s">
        <v>26</v>
      </c>
      <c r="C4" s="20" t="s">
        <v>14</v>
      </c>
      <c r="D4" s="20" t="s">
        <v>15</v>
      </c>
      <c r="E4" s="20" t="s">
        <v>27</v>
      </c>
      <c r="F4" s="21" t="s">
        <v>28</v>
      </c>
      <c r="G4" s="21" t="s">
        <v>29</v>
      </c>
      <c r="H4" s="20" t="s">
        <v>30</v>
      </c>
      <c r="I4" s="20" t="s">
        <v>31</v>
      </c>
      <c r="J4" s="20" t="s">
        <v>32</v>
      </c>
      <c r="K4" s="20" t="s">
        <v>33</v>
      </c>
      <c r="L4" s="24" t="s">
        <v>34</v>
      </c>
      <c r="M4" s="15" t="s">
        <v>35</v>
      </c>
      <c r="N4" s="20" t="s">
        <v>25</v>
      </c>
      <c r="P4" t="s">
        <v>216</v>
      </c>
    </row>
    <row r="5" spans="2:16" ht="377.1">
      <c r="B5" s="20" t="s">
        <v>36</v>
      </c>
      <c r="C5" s="20" t="s">
        <v>14</v>
      </c>
      <c r="D5" s="20" t="s">
        <v>15</v>
      </c>
      <c r="E5" s="20" t="s">
        <v>37</v>
      </c>
      <c r="F5" s="21" t="s">
        <v>38</v>
      </c>
      <c r="G5" s="21" t="s">
        <v>39</v>
      </c>
      <c r="H5" s="20" t="s">
        <v>40</v>
      </c>
      <c r="I5" s="20" t="s">
        <v>41</v>
      </c>
      <c r="J5" s="20" t="s">
        <v>42</v>
      </c>
      <c r="K5" s="20" t="s">
        <v>43</v>
      </c>
      <c r="L5" s="24" t="s">
        <v>44</v>
      </c>
      <c r="M5" s="15" t="s">
        <v>45</v>
      </c>
      <c r="N5" s="20" t="s">
        <v>25</v>
      </c>
    </row>
    <row r="6" spans="2:16" ht="337.5">
      <c r="B6" s="20" t="s">
        <v>46</v>
      </c>
      <c r="C6" s="20" t="s">
        <v>14</v>
      </c>
      <c r="D6" s="20" t="s">
        <v>15</v>
      </c>
      <c r="E6" s="20" t="s">
        <v>37</v>
      </c>
      <c r="F6" s="21" t="s">
        <v>47</v>
      </c>
      <c r="G6" s="21" t="s">
        <v>48</v>
      </c>
      <c r="H6" s="20" t="s">
        <v>19</v>
      </c>
      <c r="I6" s="20" t="s">
        <v>41</v>
      </c>
      <c r="J6" s="20" t="s">
        <v>42</v>
      </c>
      <c r="K6" s="20" t="s">
        <v>49</v>
      </c>
      <c r="L6" s="24" t="s">
        <v>50</v>
      </c>
      <c r="M6" s="15" t="s">
        <v>45</v>
      </c>
      <c r="N6" s="20" t="s">
        <v>25</v>
      </c>
    </row>
    <row r="7" spans="2:16">
      <c r="B7" s="20" t="s">
        <v>51</v>
      </c>
      <c r="C7" s="20" t="s">
        <v>14</v>
      </c>
      <c r="D7" s="20" t="s">
        <v>15</v>
      </c>
      <c r="E7" s="20" t="s">
        <v>52</v>
      </c>
      <c r="F7" s="21" t="s">
        <v>53</v>
      </c>
      <c r="G7" s="21" t="s">
        <v>54</v>
      </c>
      <c r="H7" s="20" t="s">
        <v>19</v>
      </c>
      <c r="I7" s="20" t="s">
        <v>41</v>
      </c>
      <c r="J7" s="20" t="s">
        <v>42</v>
      </c>
      <c r="K7" s="20" t="s">
        <v>22</v>
      </c>
      <c r="L7" s="11"/>
      <c r="M7" s="11" t="s">
        <v>55</v>
      </c>
      <c r="N7" s="20" t="s">
        <v>25</v>
      </c>
    </row>
    <row r="8" spans="2:16" ht="104.1">
      <c r="B8" s="20" t="s">
        <v>56</v>
      </c>
      <c r="C8" s="20" t="s">
        <v>14</v>
      </c>
      <c r="D8" s="20" t="s">
        <v>57</v>
      </c>
      <c r="E8" s="20" t="s">
        <v>52</v>
      </c>
      <c r="F8" s="21" t="s">
        <v>58</v>
      </c>
      <c r="G8" s="21" t="s">
        <v>59</v>
      </c>
      <c r="H8" s="20" t="s">
        <v>19</v>
      </c>
      <c r="I8" s="20" t="s">
        <v>41</v>
      </c>
      <c r="J8" s="20" t="s">
        <v>42</v>
      </c>
      <c r="K8" s="20" t="s">
        <v>22</v>
      </c>
      <c r="L8" s="15" t="s">
        <v>60</v>
      </c>
      <c r="M8" s="11" t="s">
        <v>55</v>
      </c>
      <c r="N8" s="54" t="s">
        <v>25</v>
      </c>
    </row>
    <row r="9" spans="2:16" ht="182.1">
      <c r="B9" s="20" t="s">
        <v>61</v>
      </c>
      <c r="C9" s="20" t="s">
        <v>14</v>
      </c>
      <c r="D9" s="20" t="s">
        <v>57</v>
      </c>
      <c r="E9" s="20" t="s">
        <v>52</v>
      </c>
      <c r="F9" s="21" t="s">
        <v>62</v>
      </c>
      <c r="G9" s="21" t="s">
        <v>63</v>
      </c>
      <c r="H9" s="20" t="s">
        <v>19</v>
      </c>
      <c r="I9" s="20" t="s">
        <v>41</v>
      </c>
      <c r="J9" s="20" t="s">
        <v>42</v>
      </c>
      <c r="K9" s="20" t="s">
        <v>22</v>
      </c>
      <c r="L9" s="15" t="s">
        <v>64</v>
      </c>
      <c r="M9" s="11" t="s">
        <v>55</v>
      </c>
      <c r="N9" s="54" t="s">
        <v>25</v>
      </c>
    </row>
    <row r="10" spans="2:16" ht="182.1">
      <c r="B10" s="20" t="s">
        <v>65</v>
      </c>
      <c r="C10" s="20" t="s">
        <v>14</v>
      </c>
      <c r="D10" s="20" t="s">
        <v>66</v>
      </c>
      <c r="E10" s="20" t="s">
        <v>52</v>
      </c>
      <c r="F10" s="20" t="s">
        <v>67</v>
      </c>
      <c r="G10" s="21" t="s">
        <v>68</v>
      </c>
      <c r="H10" s="20" t="s">
        <v>19</v>
      </c>
      <c r="I10" s="20" t="s">
        <v>41</v>
      </c>
      <c r="J10" s="20" t="s">
        <v>42</v>
      </c>
      <c r="K10" s="20" t="s">
        <v>22</v>
      </c>
      <c r="L10" s="15" t="s">
        <v>69</v>
      </c>
      <c r="M10" s="11" t="s">
        <v>55</v>
      </c>
      <c r="N10" s="20" t="s">
        <v>25</v>
      </c>
    </row>
    <row r="11" spans="2:16" ht="240.75" customHeight="1">
      <c r="B11" s="59" t="s">
        <v>70</v>
      </c>
      <c r="C11" s="59" t="s">
        <v>14</v>
      </c>
      <c r="D11" s="59" t="s">
        <v>71</v>
      </c>
      <c r="E11" s="59" t="s">
        <v>52</v>
      </c>
      <c r="F11" s="59" t="s">
        <v>72</v>
      </c>
      <c r="G11" s="60" t="s">
        <v>73</v>
      </c>
      <c r="H11" s="59" t="s">
        <v>19</v>
      </c>
      <c r="I11" s="59" t="s">
        <v>41</v>
      </c>
      <c r="J11" s="59" t="s">
        <v>42</v>
      </c>
      <c r="K11" s="59" t="s">
        <v>22</v>
      </c>
      <c r="L11" s="40" t="s">
        <v>74</v>
      </c>
      <c r="M11" s="59" t="s">
        <v>55</v>
      </c>
      <c r="N11" s="59" t="s">
        <v>25</v>
      </c>
    </row>
    <row r="12" spans="2:16" ht="271.5" customHeight="1">
      <c r="B12" s="53" t="s">
        <v>75</v>
      </c>
      <c r="C12" s="53" t="s">
        <v>14</v>
      </c>
      <c r="D12" s="53" t="s">
        <v>71</v>
      </c>
      <c r="E12" s="53" t="s">
        <v>52</v>
      </c>
      <c r="F12" s="59" t="s">
        <v>76</v>
      </c>
      <c r="G12" s="60" t="s">
        <v>77</v>
      </c>
      <c r="H12" s="53" t="s">
        <v>19</v>
      </c>
      <c r="I12" s="59" t="s">
        <v>41</v>
      </c>
      <c r="J12" s="59" t="s">
        <v>42</v>
      </c>
      <c r="K12" s="53" t="s">
        <v>22</v>
      </c>
      <c r="L12" s="40" t="s">
        <v>78</v>
      </c>
      <c r="M12" s="59" t="s">
        <v>55</v>
      </c>
      <c r="N12" s="59" t="s">
        <v>25</v>
      </c>
    </row>
    <row r="13" spans="2:16" ht="129.94999999999999">
      <c r="B13" s="53" t="s">
        <v>79</v>
      </c>
      <c r="C13" s="53" t="s">
        <v>14</v>
      </c>
      <c r="D13" s="53" t="s">
        <v>71</v>
      </c>
      <c r="E13" s="53" t="s">
        <v>52</v>
      </c>
      <c r="F13" s="59" t="s">
        <v>80</v>
      </c>
      <c r="G13" s="60" t="s">
        <v>81</v>
      </c>
      <c r="H13" s="53" t="s">
        <v>19</v>
      </c>
      <c r="I13" s="53" t="s">
        <v>41</v>
      </c>
      <c r="J13" s="53" t="s">
        <v>42</v>
      </c>
      <c r="K13" s="53" t="s">
        <v>22</v>
      </c>
      <c r="L13" s="40" t="s">
        <v>82</v>
      </c>
      <c r="M13" s="59" t="s">
        <v>55</v>
      </c>
      <c r="N13" s="59" t="s">
        <v>25</v>
      </c>
    </row>
    <row r="14" spans="2:16" ht="246.95">
      <c r="B14" s="53" t="s">
        <v>83</v>
      </c>
      <c r="C14" s="53" t="s">
        <v>14</v>
      </c>
      <c r="D14" s="53" t="s">
        <v>71</v>
      </c>
      <c r="E14" s="53" t="s">
        <v>52</v>
      </c>
      <c r="F14" s="53" t="s">
        <v>84</v>
      </c>
      <c r="G14" s="60" t="s">
        <v>85</v>
      </c>
      <c r="H14" s="53" t="s">
        <v>19</v>
      </c>
      <c r="I14" s="53" t="s">
        <v>41</v>
      </c>
      <c r="J14" s="53" t="s">
        <v>42</v>
      </c>
      <c r="K14" s="53" t="s">
        <v>22</v>
      </c>
      <c r="L14" s="40" t="s">
        <v>86</v>
      </c>
      <c r="M14" s="59" t="s">
        <v>55</v>
      </c>
      <c r="N14" s="59" t="s">
        <v>25</v>
      </c>
    </row>
    <row r="15" spans="2:16" ht="94.5">
      <c r="B15" s="53" t="s">
        <v>87</v>
      </c>
      <c r="C15" s="53" t="s">
        <v>14</v>
      </c>
      <c r="D15" s="53" t="s">
        <v>71</v>
      </c>
      <c r="E15" s="53" t="s">
        <v>52</v>
      </c>
      <c r="F15" s="59" t="s">
        <v>88</v>
      </c>
      <c r="G15" s="60" t="s">
        <v>89</v>
      </c>
      <c r="H15" s="53" t="s">
        <v>19</v>
      </c>
      <c r="I15" s="53" t="s">
        <v>41</v>
      </c>
      <c r="J15" s="53" t="s">
        <v>42</v>
      </c>
      <c r="K15" s="53" t="s">
        <v>22</v>
      </c>
      <c r="L15" s="40" t="s">
        <v>90</v>
      </c>
      <c r="M15" s="59" t="s">
        <v>55</v>
      </c>
      <c r="N15" s="59" t="s">
        <v>25</v>
      </c>
    </row>
    <row r="16" spans="2:16" s="25" customFormat="1" ht="104.1">
      <c r="B16" s="53" t="s">
        <v>91</v>
      </c>
      <c r="C16" s="53" t="s">
        <v>14</v>
      </c>
      <c r="D16" s="53" t="s">
        <v>71</v>
      </c>
      <c r="E16" s="53" t="s">
        <v>52</v>
      </c>
      <c r="F16" s="53" t="s">
        <v>92</v>
      </c>
      <c r="G16" s="60" t="s">
        <v>93</v>
      </c>
      <c r="H16" s="53" t="s">
        <v>19</v>
      </c>
      <c r="I16" s="53" t="s">
        <v>41</v>
      </c>
      <c r="J16" s="53" t="s">
        <v>42</v>
      </c>
      <c r="K16" s="53" t="s">
        <v>22</v>
      </c>
      <c r="L16" s="40" t="s">
        <v>94</v>
      </c>
      <c r="M16" s="59" t="s">
        <v>55</v>
      </c>
      <c r="N16" s="59" t="s">
        <v>25</v>
      </c>
    </row>
    <row r="17" spans="2:14" ht="197.25" customHeight="1">
      <c r="B17" s="53" t="s">
        <v>95</v>
      </c>
      <c r="C17" s="53" t="s">
        <v>14</v>
      </c>
      <c r="D17" s="53" t="s">
        <v>71</v>
      </c>
      <c r="E17" s="53" t="s">
        <v>52</v>
      </c>
      <c r="F17" s="53" t="s">
        <v>96</v>
      </c>
      <c r="G17" s="60" t="s">
        <v>97</v>
      </c>
      <c r="H17" s="53" t="s">
        <v>19</v>
      </c>
      <c r="I17" s="53" t="s">
        <v>41</v>
      </c>
      <c r="J17" s="53" t="s">
        <v>42</v>
      </c>
      <c r="K17" s="53" t="s">
        <v>22</v>
      </c>
      <c r="L17" s="40" t="s">
        <v>98</v>
      </c>
      <c r="M17" s="59" t="s">
        <v>55</v>
      </c>
      <c r="N17" s="59" t="s">
        <v>25</v>
      </c>
    </row>
    <row r="18" spans="2:14" ht="51.95">
      <c r="B18" s="53" t="s">
        <v>99</v>
      </c>
      <c r="C18" s="53" t="s">
        <v>14</v>
      </c>
      <c r="D18" s="53" t="s">
        <v>71</v>
      </c>
      <c r="E18" s="53" t="s">
        <v>52</v>
      </c>
      <c r="F18" s="53" t="s">
        <v>100</v>
      </c>
      <c r="G18" s="60" t="s">
        <v>101</v>
      </c>
      <c r="H18" s="53" t="s">
        <v>19</v>
      </c>
      <c r="I18" s="53" t="s">
        <v>41</v>
      </c>
      <c r="J18" s="53" t="s">
        <v>42</v>
      </c>
      <c r="K18" s="53" t="s">
        <v>22</v>
      </c>
      <c r="L18" s="40" t="s">
        <v>102</v>
      </c>
      <c r="M18" s="59" t="s">
        <v>55</v>
      </c>
      <c r="N18" s="59" t="s">
        <v>25</v>
      </c>
    </row>
    <row r="19" spans="2:14" ht="207.95">
      <c r="B19" s="53" t="s">
        <v>103</v>
      </c>
      <c r="C19" s="53" t="s">
        <v>14</v>
      </c>
      <c r="D19" s="53" t="s">
        <v>71</v>
      </c>
      <c r="E19" s="53" t="s">
        <v>52</v>
      </c>
      <c r="F19" s="53" t="s">
        <v>104</v>
      </c>
      <c r="G19" s="60" t="s">
        <v>105</v>
      </c>
      <c r="H19" s="53" t="s">
        <v>19</v>
      </c>
      <c r="I19" s="59" t="s">
        <v>31</v>
      </c>
      <c r="J19" s="59" t="s">
        <v>106</v>
      </c>
      <c r="K19" s="53" t="s">
        <v>22</v>
      </c>
      <c r="L19" s="40" t="s">
        <v>107</v>
      </c>
      <c r="M19" s="59" t="s">
        <v>55</v>
      </c>
      <c r="N19" s="59" t="s">
        <v>25</v>
      </c>
    </row>
  </sheetData>
  <autoFilter ref="B2:N9" xr:uid="{9864554D-5725-4ABA-9CE5-A9FC328092B1}"/>
  <phoneticPr fontId="1" type="noConversion"/>
  <pageMargins left="0.7" right="0.7" top="0.75" bottom="0.75" header="0.3" footer="0.3"/>
  <pageSetup orientation="portrait" r:id="rId1"/>
  <headerFooter>
    <oddFooter>&amp;L2/24/2025&amp;CAXP Internal&amp;R4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2C7C6-4F4D-4220-93FE-E15557F4CB3C}">
  <dimension ref="B1:M75"/>
  <sheetViews>
    <sheetView zoomScale="80" zoomScaleNormal="80" workbookViewId="0">
      <pane ySplit="1" topLeftCell="A58" activePane="bottomLeft" state="frozen"/>
      <selection pane="bottomLeft" activeCell="I59" sqref="I59"/>
    </sheetView>
  </sheetViews>
  <sheetFormatPr defaultRowHeight="14.45"/>
  <cols>
    <col min="2" max="2" width="15.5703125" bestFit="1" customWidth="1"/>
    <col min="3" max="3" width="15.5703125" customWidth="1"/>
    <col min="4" max="4" width="12.5703125" customWidth="1"/>
    <col min="5" max="5" width="6.140625" style="25" customWidth="1"/>
    <col min="6" max="6" width="15.42578125" style="26" bestFit="1" customWidth="1"/>
    <col min="7" max="7" width="32.42578125" style="27" customWidth="1"/>
    <col min="8" max="8" width="22.7109375" style="27" customWidth="1"/>
    <col min="9" max="9" width="32.7109375" style="27" customWidth="1"/>
    <col min="10" max="10" width="34.5703125" style="27" bestFit="1" customWidth="1"/>
    <col min="11" max="11" width="8.7109375" style="41"/>
    <col min="12" max="12" width="9.85546875" bestFit="1" customWidth="1"/>
    <col min="13" max="13" width="19.7109375" customWidth="1"/>
  </cols>
  <sheetData>
    <row r="1" spans="2:13" s="22" customFormat="1" ht="39">
      <c r="B1" s="37" t="s">
        <v>217</v>
      </c>
      <c r="C1" s="37" t="s">
        <v>145</v>
      </c>
      <c r="D1" s="37" t="s">
        <v>218</v>
      </c>
      <c r="E1" s="37" t="s">
        <v>0</v>
      </c>
      <c r="F1" s="37" t="s">
        <v>219</v>
      </c>
      <c r="G1" s="37" t="s">
        <v>220</v>
      </c>
      <c r="H1" s="37" t="s">
        <v>201</v>
      </c>
      <c r="I1" s="37" t="s">
        <v>10</v>
      </c>
      <c r="J1" s="37" t="s">
        <v>221</v>
      </c>
      <c r="K1" s="37" t="s">
        <v>12</v>
      </c>
      <c r="M1" s="57"/>
    </row>
    <row r="2" spans="2:13" s="23" customFormat="1" ht="159" customHeight="1">
      <c r="B2" s="93" t="s">
        <v>222</v>
      </c>
      <c r="C2" s="83" t="s">
        <v>223</v>
      </c>
      <c r="D2" s="10" t="s">
        <v>224</v>
      </c>
      <c r="E2" s="39" t="s">
        <v>225</v>
      </c>
      <c r="F2" s="10" t="s">
        <v>226</v>
      </c>
      <c r="G2" s="10" t="s">
        <v>227</v>
      </c>
      <c r="H2" s="24" t="s">
        <v>228</v>
      </c>
      <c r="I2" s="24" t="s">
        <v>229</v>
      </c>
      <c r="J2" s="10" t="s">
        <v>230</v>
      </c>
      <c r="K2" s="51" t="s">
        <v>25</v>
      </c>
    </row>
    <row r="3" spans="2:13" s="23" customFormat="1" ht="203.45" customHeight="1">
      <c r="B3" s="93"/>
      <c r="C3" s="83"/>
      <c r="D3" s="10" t="s">
        <v>224</v>
      </c>
      <c r="E3" s="39" t="s">
        <v>231</v>
      </c>
      <c r="F3" s="10" t="s">
        <v>232</v>
      </c>
      <c r="G3" s="10" t="s">
        <v>233</v>
      </c>
      <c r="H3" s="24" t="s">
        <v>228</v>
      </c>
      <c r="I3" s="24" t="s">
        <v>234</v>
      </c>
      <c r="J3" s="10" t="s">
        <v>230</v>
      </c>
      <c r="K3" s="51" t="s">
        <v>25</v>
      </c>
    </row>
    <row r="4" spans="2:13" s="23" customFormat="1" ht="299.10000000000002">
      <c r="B4" s="93"/>
      <c r="C4" s="83"/>
      <c r="D4" s="10" t="s">
        <v>224</v>
      </c>
      <c r="E4" s="39" t="s">
        <v>235</v>
      </c>
      <c r="F4" s="24" t="s">
        <v>236</v>
      </c>
      <c r="G4" s="24" t="s">
        <v>237</v>
      </c>
      <c r="H4" s="24" t="s">
        <v>238</v>
      </c>
      <c r="I4" s="24" t="s">
        <v>239</v>
      </c>
      <c r="J4" s="10" t="s">
        <v>230</v>
      </c>
      <c r="K4" s="51" t="s">
        <v>25</v>
      </c>
    </row>
    <row r="5" spans="2:13" s="23" customFormat="1" ht="285.95">
      <c r="B5" s="93"/>
      <c r="C5" s="83"/>
      <c r="D5" s="10" t="s">
        <v>224</v>
      </c>
      <c r="E5" s="39" t="s">
        <v>240</v>
      </c>
      <c r="F5" s="24" t="s">
        <v>241</v>
      </c>
      <c r="G5" s="24" t="s">
        <v>242</v>
      </c>
      <c r="H5" s="24" t="s">
        <v>243</v>
      </c>
      <c r="I5" s="24" t="s">
        <v>244</v>
      </c>
      <c r="J5" s="10" t="s">
        <v>230</v>
      </c>
      <c r="K5" s="51" t="s">
        <v>25</v>
      </c>
    </row>
    <row r="6" spans="2:13" s="23" customFormat="1" ht="134.44999999999999" customHeight="1">
      <c r="B6" s="93"/>
      <c r="C6" s="83"/>
      <c r="D6" s="10" t="s">
        <v>224</v>
      </c>
      <c r="E6" s="39" t="s">
        <v>245</v>
      </c>
      <c r="F6" s="24" t="s">
        <v>246</v>
      </c>
      <c r="G6" s="24" t="s">
        <v>247</v>
      </c>
      <c r="H6" s="24" t="s">
        <v>248</v>
      </c>
      <c r="I6" s="24" t="s">
        <v>249</v>
      </c>
      <c r="J6" s="10" t="s">
        <v>230</v>
      </c>
      <c r="K6" s="51" t="s">
        <v>25</v>
      </c>
    </row>
    <row r="7" spans="2:13" s="23" customFormat="1" ht="234">
      <c r="B7" s="93"/>
      <c r="C7" s="83"/>
      <c r="D7" s="10" t="s">
        <v>250</v>
      </c>
      <c r="E7" s="39" t="s">
        <v>251</v>
      </c>
      <c r="F7" s="24" t="s">
        <v>252</v>
      </c>
      <c r="G7" s="24" t="s">
        <v>253</v>
      </c>
      <c r="H7" s="24" t="s">
        <v>254</v>
      </c>
      <c r="I7" s="24" t="s">
        <v>255</v>
      </c>
      <c r="J7" s="58" t="s">
        <v>256</v>
      </c>
      <c r="K7" s="51" t="s">
        <v>25</v>
      </c>
    </row>
    <row r="8" spans="2:13" s="23" customFormat="1" ht="377.25" customHeight="1">
      <c r="B8" s="93" t="s">
        <v>257</v>
      </c>
      <c r="C8" s="94" t="s">
        <v>258</v>
      </c>
      <c r="D8" s="10" t="s">
        <v>224</v>
      </c>
      <c r="E8" s="39" t="s">
        <v>259</v>
      </c>
      <c r="F8" s="24" t="s">
        <v>260</v>
      </c>
      <c r="G8" s="24" t="s">
        <v>261</v>
      </c>
      <c r="H8" s="24" t="s">
        <v>262</v>
      </c>
      <c r="I8" s="24" t="s">
        <v>263</v>
      </c>
      <c r="J8" s="10" t="s">
        <v>264</v>
      </c>
      <c r="K8" s="51" t="s">
        <v>25</v>
      </c>
    </row>
    <row r="9" spans="2:13" s="23" customFormat="1" ht="260.10000000000002">
      <c r="B9" s="93"/>
      <c r="C9" s="94"/>
      <c r="D9" s="10" t="s">
        <v>224</v>
      </c>
      <c r="E9" s="39" t="s">
        <v>265</v>
      </c>
      <c r="F9" s="24" t="s">
        <v>266</v>
      </c>
      <c r="G9" s="24" t="s">
        <v>267</v>
      </c>
      <c r="H9" s="24" t="s">
        <v>262</v>
      </c>
      <c r="I9" s="24" t="s">
        <v>268</v>
      </c>
      <c r="J9" s="10" t="s">
        <v>264</v>
      </c>
      <c r="K9" s="51" t="s">
        <v>25</v>
      </c>
    </row>
    <row r="10" spans="2:13" s="23" customFormat="1" ht="78">
      <c r="B10" s="93"/>
      <c r="C10" s="94"/>
      <c r="D10" s="10" t="s">
        <v>224</v>
      </c>
      <c r="E10" s="39" t="s">
        <v>269</v>
      </c>
      <c r="F10" s="24" t="s">
        <v>270</v>
      </c>
      <c r="G10" s="24" t="s">
        <v>271</v>
      </c>
      <c r="H10" s="24" t="s">
        <v>272</v>
      </c>
      <c r="I10" s="24" t="s">
        <v>273</v>
      </c>
      <c r="J10" s="58" t="s">
        <v>256</v>
      </c>
      <c r="K10" s="51" t="s">
        <v>25</v>
      </c>
    </row>
    <row r="11" spans="2:13" s="23" customFormat="1" ht="182.1">
      <c r="B11" s="93"/>
      <c r="C11" s="94"/>
      <c r="D11" s="10" t="s">
        <v>224</v>
      </c>
      <c r="E11" s="39" t="s">
        <v>274</v>
      </c>
      <c r="F11" s="24" t="s">
        <v>226</v>
      </c>
      <c r="G11" s="24" t="s">
        <v>275</v>
      </c>
      <c r="H11" s="24" t="s">
        <v>228</v>
      </c>
      <c r="I11" s="24" t="s">
        <v>276</v>
      </c>
      <c r="J11" s="58" t="s">
        <v>256</v>
      </c>
      <c r="K11" s="51" t="s">
        <v>25</v>
      </c>
    </row>
    <row r="12" spans="2:13" s="23" customFormat="1" ht="285.95">
      <c r="B12" s="93"/>
      <c r="C12" s="94"/>
      <c r="D12" s="10" t="s">
        <v>224</v>
      </c>
      <c r="E12" s="39" t="s">
        <v>277</v>
      </c>
      <c r="F12" s="24" t="s">
        <v>278</v>
      </c>
      <c r="G12" s="24" t="s">
        <v>279</v>
      </c>
      <c r="H12" s="24" t="s">
        <v>280</v>
      </c>
      <c r="I12" s="24" t="s">
        <v>281</v>
      </c>
      <c r="J12" s="10" t="s">
        <v>264</v>
      </c>
      <c r="K12" s="51" t="s">
        <v>25</v>
      </c>
    </row>
    <row r="13" spans="2:13" s="23" customFormat="1" ht="197.25" customHeight="1">
      <c r="B13" s="93"/>
      <c r="C13" s="94"/>
      <c r="D13" s="10" t="s">
        <v>224</v>
      </c>
      <c r="E13" s="39" t="s">
        <v>282</v>
      </c>
      <c r="F13" s="24" t="s">
        <v>283</v>
      </c>
      <c r="G13" s="24" t="s">
        <v>284</v>
      </c>
      <c r="H13" s="24" t="s">
        <v>285</v>
      </c>
      <c r="I13" s="24" t="s">
        <v>286</v>
      </c>
      <c r="J13" s="10" t="s">
        <v>264</v>
      </c>
      <c r="K13" s="51" t="s">
        <v>25</v>
      </c>
    </row>
    <row r="14" spans="2:13" s="23" customFormat="1" ht="228.75" customHeight="1">
      <c r="B14" s="93"/>
      <c r="C14" s="94"/>
      <c r="D14" s="10" t="s">
        <v>224</v>
      </c>
      <c r="E14" s="39" t="s">
        <v>287</v>
      </c>
      <c r="F14" s="24" t="s">
        <v>288</v>
      </c>
      <c r="G14" s="24" t="s">
        <v>289</v>
      </c>
      <c r="H14" s="24" t="s">
        <v>290</v>
      </c>
      <c r="I14" s="24" t="s">
        <v>291</v>
      </c>
      <c r="J14" s="58" t="s">
        <v>256</v>
      </c>
      <c r="K14" s="51" t="s">
        <v>25</v>
      </c>
    </row>
    <row r="15" spans="2:13" s="23" customFormat="1" ht="246.95">
      <c r="B15" s="93" t="s">
        <v>292</v>
      </c>
      <c r="C15" s="83" t="s">
        <v>293</v>
      </c>
      <c r="D15" s="10" t="s">
        <v>224</v>
      </c>
      <c r="E15" s="39" t="s">
        <v>294</v>
      </c>
      <c r="F15" s="24" t="s">
        <v>295</v>
      </c>
      <c r="G15" s="24" t="s">
        <v>296</v>
      </c>
      <c r="H15" s="24" t="s">
        <v>262</v>
      </c>
      <c r="I15" s="24" t="s">
        <v>297</v>
      </c>
      <c r="J15" s="10" t="s">
        <v>264</v>
      </c>
      <c r="K15" s="51" t="s">
        <v>25</v>
      </c>
    </row>
    <row r="16" spans="2:13" s="23" customFormat="1" ht="285.95">
      <c r="B16" s="93"/>
      <c r="C16" s="93"/>
      <c r="D16" s="38" t="s">
        <v>224</v>
      </c>
      <c r="E16" s="39" t="s">
        <v>298</v>
      </c>
      <c r="F16" s="24" t="s">
        <v>260</v>
      </c>
      <c r="G16" s="24" t="s">
        <v>299</v>
      </c>
      <c r="H16" s="24" t="s">
        <v>262</v>
      </c>
      <c r="I16" s="24" t="s">
        <v>300</v>
      </c>
      <c r="J16" s="10" t="s">
        <v>264</v>
      </c>
      <c r="K16" s="51" t="s">
        <v>25</v>
      </c>
    </row>
    <row r="17" spans="2:11" s="23" customFormat="1" ht="246.95">
      <c r="B17" s="93"/>
      <c r="C17" s="93"/>
      <c r="D17" s="38" t="s">
        <v>224</v>
      </c>
      <c r="E17" s="39" t="s">
        <v>301</v>
      </c>
      <c r="F17" s="24" t="s">
        <v>266</v>
      </c>
      <c r="G17" s="24" t="s">
        <v>302</v>
      </c>
      <c r="H17" s="24" t="s">
        <v>262</v>
      </c>
      <c r="I17" s="24" t="s">
        <v>303</v>
      </c>
      <c r="J17" s="10" t="s">
        <v>264</v>
      </c>
      <c r="K17" s="51" t="s">
        <v>25</v>
      </c>
    </row>
    <row r="18" spans="2:11" s="23" customFormat="1" ht="104.1">
      <c r="B18" s="93"/>
      <c r="C18" s="93"/>
      <c r="D18" s="38" t="s">
        <v>224</v>
      </c>
      <c r="E18" s="39" t="s">
        <v>304</v>
      </c>
      <c r="F18" s="24" t="s">
        <v>305</v>
      </c>
      <c r="G18" s="24" t="s">
        <v>306</v>
      </c>
      <c r="H18" s="24" t="s">
        <v>307</v>
      </c>
      <c r="I18" s="24" t="s">
        <v>308</v>
      </c>
      <c r="J18" s="10" t="s">
        <v>309</v>
      </c>
      <c r="K18" s="51" t="s">
        <v>25</v>
      </c>
    </row>
    <row r="19" spans="2:11" s="23" customFormat="1" ht="195">
      <c r="B19" s="93"/>
      <c r="C19" s="93"/>
      <c r="D19" s="38" t="s">
        <v>224</v>
      </c>
      <c r="E19" s="39" t="s">
        <v>310</v>
      </c>
      <c r="F19" s="24" t="s">
        <v>226</v>
      </c>
      <c r="G19" s="24" t="s">
        <v>311</v>
      </c>
      <c r="H19" s="24" t="s">
        <v>312</v>
      </c>
      <c r="I19" s="24" t="s">
        <v>313</v>
      </c>
      <c r="J19" s="58" t="s">
        <v>256</v>
      </c>
      <c r="K19" s="51" t="s">
        <v>25</v>
      </c>
    </row>
    <row r="20" spans="2:11" s="23" customFormat="1" ht="299.10000000000002">
      <c r="B20" s="93"/>
      <c r="C20" s="93"/>
      <c r="D20" s="38" t="s">
        <v>224</v>
      </c>
      <c r="E20" s="39" t="s">
        <v>314</v>
      </c>
      <c r="F20" s="24" t="s">
        <v>278</v>
      </c>
      <c r="G20" s="24" t="s">
        <v>315</v>
      </c>
      <c r="H20" s="24" t="s">
        <v>316</v>
      </c>
      <c r="I20" s="24" t="s">
        <v>317</v>
      </c>
      <c r="J20" s="10" t="s">
        <v>264</v>
      </c>
      <c r="K20" s="51" t="s">
        <v>25</v>
      </c>
    </row>
    <row r="21" spans="2:11" s="23" customFormat="1" ht="299.10000000000002">
      <c r="B21" s="93"/>
      <c r="C21" s="93"/>
      <c r="D21" s="38" t="s">
        <v>224</v>
      </c>
      <c r="E21" s="39" t="s">
        <v>318</v>
      </c>
      <c r="F21" s="24" t="s">
        <v>319</v>
      </c>
      <c r="G21" s="24" t="s">
        <v>320</v>
      </c>
      <c r="H21" s="24" t="s">
        <v>321</v>
      </c>
      <c r="I21" s="24" t="s">
        <v>322</v>
      </c>
      <c r="J21" s="58" t="s">
        <v>256</v>
      </c>
      <c r="K21" s="51" t="s">
        <v>25</v>
      </c>
    </row>
    <row r="22" spans="2:11" s="23" customFormat="1" ht="260.10000000000002">
      <c r="B22" s="93"/>
      <c r="C22" s="93"/>
      <c r="D22" s="38" t="s">
        <v>224</v>
      </c>
      <c r="E22" s="39" t="s">
        <v>323</v>
      </c>
      <c r="F22" s="24" t="s">
        <v>288</v>
      </c>
      <c r="G22" s="24" t="s">
        <v>324</v>
      </c>
      <c r="H22" s="24" t="s">
        <v>290</v>
      </c>
      <c r="I22" s="24" t="s">
        <v>325</v>
      </c>
      <c r="J22" s="58" t="s">
        <v>256</v>
      </c>
      <c r="K22" s="51" t="s">
        <v>25</v>
      </c>
    </row>
    <row r="23" spans="2:11" s="23" customFormat="1" ht="90.95">
      <c r="B23" s="93"/>
      <c r="C23" s="93"/>
      <c r="D23" s="38" t="s">
        <v>224</v>
      </c>
      <c r="E23" s="39" t="s">
        <v>326</v>
      </c>
      <c r="F23" s="24" t="s">
        <v>327</v>
      </c>
      <c r="G23" s="24" t="s">
        <v>328</v>
      </c>
      <c r="H23" s="24" t="s">
        <v>329</v>
      </c>
      <c r="I23" s="24" t="s">
        <v>330</v>
      </c>
      <c r="J23" s="58" t="s">
        <v>256</v>
      </c>
      <c r="K23" s="51" t="s">
        <v>25</v>
      </c>
    </row>
    <row r="24" spans="2:11" s="23" customFormat="1">
      <c r="B24" s="93"/>
      <c r="C24" s="93"/>
      <c r="D24" s="38" t="s">
        <v>224</v>
      </c>
      <c r="E24" s="93" t="s">
        <v>331</v>
      </c>
      <c r="F24" s="93"/>
      <c r="G24" s="10"/>
      <c r="H24" s="10"/>
      <c r="I24" s="10"/>
      <c r="J24" s="10"/>
      <c r="K24" s="51" t="s">
        <v>25</v>
      </c>
    </row>
    <row r="25" spans="2:11" s="4" customFormat="1" ht="273">
      <c r="B25" s="93" t="s">
        <v>332</v>
      </c>
      <c r="C25" s="83" t="s">
        <v>333</v>
      </c>
      <c r="D25" s="10" t="s">
        <v>224</v>
      </c>
      <c r="E25" s="39" t="s">
        <v>334</v>
      </c>
      <c r="F25" s="24" t="s">
        <v>335</v>
      </c>
      <c r="G25" s="24" t="s">
        <v>336</v>
      </c>
      <c r="H25" s="24" t="s">
        <v>243</v>
      </c>
      <c r="I25" s="24" t="s">
        <v>337</v>
      </c>
      <c r="J25" s="10" t="s">
        <v>264</v>
      </c>
      <c r="K25" s="61" t="s">
        <v>25</v>
      </c>
    </row>
    <row r="26" spans="2:11" s="4" customFormat="1" ht="285.95">
      <c r="B26" s="93"/>
      <c r="C26" s="83"/>
      <c r="D26" s="10" t="s">
        <v>224</v>
      </c>
      <c r="E26" s="39" t="s">
        <v>338</v>
      </c>
      <c r="F26" s="24" t="s">
        <v>339</v>
      </c>
      <c r="G26" s="24" t="s">
        <v>340</v>
      </c>
      <c r="H26" s="24" t="s">
        <v>243</v>
      </c>
      <c r="I26" s="24" t="s">
        <v>341</v>
      </c>
      <c r="J26" s="10" t="s">
        <v>264</v>
      </c>
      <c r="K26" s="62" t="s">
        <v>25</v>
      </c>
    </row>
    <row r="27" spans="2:11" s="4" customFormat="1" ht="285.95">
      <c r="B27" s="93"/>
      <c r="C27" s="83"/>
      <c r="D27" s="10" t="s">
        <v>224</v>
      </c>
      <c r="E27" s="39" t="s">
        <v>342</v>
      </c>
      <c r="F27" s="24" t="s">
        <v>278</v>
      </c>
      <c r="G27" s="24" t="s">
        <v>343</v>
      </c>
      <c r="H27" s="24" t="s">
        <v>344</v>
      </c>
      <c r="I27" s="24" t="s">
        <v>345</v>
      </c>
      <c r="J27" s="10" t="s">
        <v>264</v>
      </c>
      <c r="K27" s="62" t="s">
        <v>25</v>
      </c>
    </row>
    <row r="28" spans="2:11" s="4" customFormat="1" ht="285.95">
      <c r="B28" s="93"/>
      <c r="C28" s="83"/>
      <c r="D28" s="10" t="s">
        <v>224</v>
      </c>
      <c r="E28" s="39" t="s">
        <v>346</v>
      </c>
      <c r="F28" s="24" t="s">
        <v>319</v>
      </c>
      <c r="G28" s="24" t="s">
        <v>347</v>
      </c>
      <c r="H28" s="24" t="s">
        <v>348</v>
      </c>
      <c r="I28" s="24" t="s">
        <v>349</v>
      </c>
      <c r="J28" s="10" t="s">
        <v>264</v>
      </c>
      <c r="K28" s="62" t="s">
        <v>25</v>
      </c>
    </row>
    <row r="29" spans="2:11" s="4" customFormat="1" ht="246.95">
      <c r="B29" s="93"/>
      <c r="C29" s="83"/>
      <c r="D29" s="10" t="s">
        <v>224</v>
      </c>
      <c r="E29" s="39" t="s">
        <v>350</v>
      </c>
      <c r="F29" s="24" t="s">
        <v>351</v>
      </c>
      <c r="G29" s="24" t="s">
        <v>352</v>
      </c>
      <c r="H29" s="24" t="s">
        <v>353</v>
      </c>
      <c r="I29" s="24" t="s">
        <v>354</v>
      </c>
      <c r="J29" s="58" t="s">
        <v>256</v>
      </c>
      <c r="K29" s="62" t="s">
        <v>25</v>
      </c>
    </row>
    <row r="30" spans="2:11" s="4" customFormat="1" ht="351">
      <c r="B30" s="93"/>
      <c r="C30" s="83"/>
      <c r="D30" s="10" t="s">
        <v>224</v>
      </c>
      <c r="E30" s="39" t="s">
        <v>355</v>
      </c>
      <c r="F30" s="10" t="s">
        <v>356</v>
      </c>
      <c r="G30" s="10" t="s">
        <v>357</v>
      </c>
      <c r="H30" s="10" t="s">
        <v>358</v>
      </c>
      <c r="I30" s="24" t="s">
        <v>359</v>
      </c>
      <c r="J30" s="58" t="s">
        <v>256</v>
      </c>
      <c r="K30" s="62" t="s">
        <v>25</v>
      </c>
    </row>
    <row r="31" spans="2:11" s="4" customFormat="1" ht="90.95">
      <c r="B31" s="93"/>
      <c r="C31" s="83"/>
      <c r="D31" s="10" t="s">
        <v>224</v>
      </c>
      <c r="E31" s="39" t="s">
        <v>360</v>
      </c>
      <c r="F31" s="24" t="s">
        <v>305</v>
      </c>
      <c r="G31" s="24" t="s">
        <v>361</v>
      </c>
      <c r="H31" s="24" t="s">
        <v>362</v>
      </c>
      <c r="I31" s="24" t="s">
        <v>363</v>
      </c>
      <c r="J31" s="10" t="s">
        <v>309</v>
      </c>
      <c r="K31" s="62" t="s">
        <v>25</v>
      </c>
    </row>
    <row r="32" spans="2:11" s="4" customFormat="1" ht="221.1">
      <c r="B32" s="93"/>
      <c r="C32" s="83"/>
      <c r="D32" s="10" t="s">
        <v>250</v>
      </c>
      <c r="E32" s="39" t="s">
        <v>364</v>
      </c>
      <c r="F32" s="10" t="s">
        <v>365</v>
      </c>
      <c r="G32" s="10" t="s">
        <v>366</v>
      </c>
      <c r="H32" s="10" t="s">
        <v>367</v>
      </c>
      <c r="I32" s="24" t="s">
        <v>368</v>
      </c>
      <c r="J32" s="58" t="s">
        <v>256</v>
      </c>
      <c r="K32" s="62" t="s">
        <v>25</v>
      </c>
    </row>
    <row r="33" spans="2:13" ht="129.94999999999999">
      <c r="B33" s="84" t="s">
        <v>369</v>
      </c>
      <c r="C33" s="87" t="s">
        <v>370</v>
      </c>
      <c r="D33" s="11" t="s">
        <v>250</v>
      </c>
      <c r="E33" s="51" t="s">
        <v>371</v>
      </c>
      <c r="F33" s="63" t="s">
        <v>372</v>
      </c>
      <c r="G33" s="10" t="s">
        <v>373</v>
      </c>
      <c r="H33" s="15" t="s">
        <v>374</v>
      </c>
      <c r="I33" s="58" t="s">
        <v>256</v>
      </c>
      <c r="J33" s="58" t="s">
        <v>256</v>
      </c>
      <c r="K33" s="62" t="s">
        <v>25</v>
      </c>
    </row>
    <row r="34" spans="2:13" ht="299.10000000000002">
      <c r="B34" s="85"/>
      <c r="C34" s="88"/>
      <c r="D34" s="11" t="s">
        <v>250</v>
      </c>
      <c r="E34" s="51" t="s">
        <v>375</v>
      </c>
      <c r="F34" s="63" t="s">
        <v>376</v>
      </c>
      <c r="G34" s="10" t="s">
        <v>377</v>
      </c>
      <c r="H34" s="15" t="s">
        <v>378</v>
      </c>
      <c r="I34" s="58" t="s">
        <v>256</v>
      </c>
      <c r="J34" s="58" t="s">
        <v>256</v>
      </c>
      <c r="K34" s="62" t="s">
        <v>25</v>
      </c>
    </row>
    <row r="35" spans="2:13" ht="338.45">
      <c r="B35" s="85"/>
      <c r="C35" s="88"/>
      <c r="D35" s="10" t="s">
        <v>250</v>
      </c>
      <c r="E35" s="51" t="s">
        <v>379</v>
      </c>
      <c r="F35" s="63" t="s">
        <v>380</v>
      </c>
      <c r="G35" s="48" t="s">
        <v>381</v>
      </c>
      <c r="H35" s="15" t="s">
        <v>382</v>
      </c>
      <c r="I35" s="58" t="s">
        <v>256</v>
      </c>
      <c r="J35" s="58" t="s">
        <v>256</v>
      </c>
      <c r="K35" s="62" t="s">
        <v>25</v>
      </c>
      <c r="L35" s="27" t="s">
        <v>246</v>
      </c>
      <c r="M35" s="27" t="s">
        <v>383</v>
      </c>
    </row>
    <row r="36" spans="2:13" ht="299.45">
      <c r="B36" s="85"/>
      <c r="C36" s="88"/>
      <c r="D36" s="10" t="s">
        <v>250</v>
      </c>
      <c r="E36" s="51" t="s">
        <v>384</v>
      </c>
      <c r="F36" s="63" t="s">
        <v>385</v>
      </c>
      <c r="G36" s="48" t="s">
        <v>386</v>
      </c>
      <c r="H36" s="15" t="s">
        <v>382</v>
      </c>
      <c r="I36" s="58" t="s">
        <v>256</v>
      </c>
      <c r="J36" s="58" t="s">
        <v>256</v>
      </c>
      <c r="K36" s="62" t="s">
        <v>25</v>
      </c>
    </row>
    <row r="37" spans="2:13" ht="234.6">
      <c r="B37" s="85"/>
      <c r="C37" s="88"/>
      <c r="D37" s="10" t="s">
        <v>224</v>
      </c>
      <c r="E37" s="51" t="s">
        <v>387</v>
      </c>
      <c r="F37" s="63" t="s">
        <v>388</v>
      </c>
      <c r="G37" s="48" t="s">
        <v>389</v>
      </c>
      <c r="H37" s="15" t="s">
        <v>256</v>
      </c>
      <c r="I37" s="58" t="s">
        <v>256</v>
      </c>
      <c r="J37" s="58" t="s">
        <v>256</v>
      </c>
      <c r="K37" s="62" t="s">
        <v>25</v>
      </c>
    </row>
    <row r="38" spans="2:13" ht="208.5">
      <c r="B38" s="85"/>
      <c r="C38" s="88"/>
      <c r="D38" s="10" t="s">
        <v>250</v>
      </c>
      <c r="E38" s="51" t="s">
        <v>390</v>
      </c>
      <c r="F38" s="63" t="s">
        <v>391</v>
      </c>
      <c r="G38" s="48" t="s">
        <v>392</v>
      </c>
      <c r="H38" s="16" t="s">
        <v>393</v>
      </c>
      <c r="I38" s="58" t="s">
        <v>256</v>
      </c>
      <c r="J38" s="58" t="s">
        <v>256</v>
      </c>
      <c r="K38" s="62" t="s">
        <v>25</v>
      </c>
    </row>
    <row r="39" spans="2:13" ht="130.5">
      <c r="B39" s="85"/>
      <c r="C39" s="88"/>
      <c r="D39" s="10" t="s">
        <v>250</v>
      </c>
      <c r="E39" s="51" t="s">
        <v>394</v>
      </c>
      <c r="F39" s="63" t="s">
        <v>395</v>
      </c>
      <c r="G39" s="48" t="s">
        <v>396</v>
      </c>
      <c r="H39" s="16" t="s">
        <v>397</v>
      </c>
      <c r="I39" s="58" t="s">
        <v>256</v>
      </c>
      <c r="J39" s="58" t="s">
        <v>256</v>
      </c>
      <c r="K39" s="62" t="s">
        <v>25</v>
      </c>
    </row>
    <row r="40" spans="2:13" ht="221.1">
      <c r="B40" s="85"/>
      <c r="C40" s="88"/>
      <c r="D40" s="10" t="s">
        <v>250</v>
      </c>
      <c r="E40" s="58" t="s">
        <v>398</v>
      </c>
      <c r="F40" s="10" t="s">
        <v>399</v>
      </c>
      <c r="G40" s="10" t="s">
        <v>400</v>
      </c>
      <c r="H40" s="10" t="s">
        <v>401</v>
      </c>
      <c r="I40" s="58" t="s">
        <v>256</v>
      </c>
      <c r="J40" s="58" t="s">
        <v>256</v>
      </c>
      <c r="K40" s="62" t="s">
        <v>25</v>
      </c>
    </row>
    <row r="41" spans="2:13" ht="26.1">
      <c r="B41" s="86"/>
      <c r="C41" s="89"/>
      <c r="D41" s="40"/>
      <c r="E41" s="67"/>
      <c r="F41" s="40" t="s">
        <v>402</v>
      </c>
      <c r="G41" s="40"/>
      <c r="H41" s="40"/>
      <c r="I41" s="68"/>
      <c r="J41" s="68"/>
      <c r="K41" s="69"/>
    </row>
    <row r="42" spans="2:13" ht="246.95">
      <c r="B42" s="81" t="s">
        <v>403</v>
      </c>
      <c r="C42" s="82" t="s">
        <v>404</v>
      </c>
      <c r="D42" s="11" t="s">
        <v>250</v>
      </c>
      <c r="E42" s="51" t="s">
        <v>405</v>
      </c>
      <c r="F42" s="15" t="s">
        <v>406</v>
      </c>
      <c r="G42" s="15" t="s">
        <v>407</v>
      </c>
      <c r="H42" s="15" t="s">
        <v>408</v>
      </c>
      <c r="I42" s="58" t="s">
        <v>256</v>
      </c>
      <c r="J42" s="58" t="s">
        <v>256</v>
      </c>
      <c r="K42" s="62" t="s">
        <v>25</v>
      </c>
    </row>
    <row r="43" spans="2:13" ht="207.95">
      <c r="B43" s="81"/>
      <c r="C43" s="82"/>
      <c r="D43" s="10" t="s">
        <v>250</v>
      </c>
      <c r="E43" s="58" t="s">
        <v>409</v>
      </c>
      <c r="F43" s="15" t="s">
        <v>410</v>
      </c>
      <c r="G43" s="15" t="s">
        <v>411</v>
      </c>
      <c r="H43" s="15" t="s">
        <v>412</v>
      </c>
      <c r="I43" s="58" t="s">
        <v>256</v>
      </c>
      <c r="J43" s="58" t="s">
        <v>256</v>
      </c>
      <c r="K43" s="62" t="s">
        <v>25</v>
      </c>
    </row>
    <row r="44" spans="2:13" ht="182.1">
      <c r="B44" s="81"/>
      <c r="C44" s="82"/>
      <c r="D44" s="10" t="s">
        <v>224</v>
      </c>
      <c r="E44" s="51" t="s">
        <v>413</v>
      </c>
      <c r="F44" s="15" t="s">
        <v>414</v>
      </c>
      <c r="G44" s="15" t="s">
        <v>415</v>
      </c>
      <c r="H44" s="15" t="s">
        <v>416</v>
      </c>
      <c r="I44" s="58" t="s">
        <v>256</v>
      </c>
      <c r="J44" s="58" t="s">
        <v>256</v>
      </c>
      <c r="K44" s="62" t="s">
        <v>25</v>
      </c>
    </row>
    <row r="45" spans="2:13" ht="156">
      <c r="B45" s="81"/>
      <c r="C45" s="82"/>
      <c r="D45" s="10" t="s">
        <v>250</v>
      </c>
      <c r="E45" s="58" t="s">
        <v>417</v>
      </c>
      <c r="F45" s="15" t="s">
        <v>418</v>
      </c>
      <c r="G45" s="15" t="s">
        <v>419</v>
      </c>
      <c r="H45" s="15" t="s">
        <v>408</v>
      </c>
      <c r="I45" s="58" t="s">
        <v>256</v>
      </c>
      <c r="J45" s="58" t="s">
        <v>256</v>
      </c>
      <c r="K45" s="62" t="s">
        <v>25</v>
      </c>
    </row>
    <row r="46" spans="2:13" ht="182.1">
      <c r="B46" s="81"/>
      <c r="C46" s="82"/>
      <c r="D46" s="10" t="s">
        <v>250</v>
      </c>
      <c r="E46" s="51" t="s">
        <v>420</v>
      </c>
      <c r="F46" s="15" t="s">
        <v>421</v>
      </c>
      <c r="G46" s="15" t="s">
        <v>422</v>
      </c>
      <c r="H46" s="15" t="s">
        <v>408</v>
      </c>
      <c r="I46" s="58" t="s">
        <v>256</v>
      </c>
      <c r="J46" s="58" t="s">
        <v>256</v>
      </c>
      <c r="K46" s="62" t="s">
        <v>25</v>
      </c>
    </row>
    <row r="47" spans="2:13" ht="221.1">
      <c r="B47" s="81"/>
      <c r="C47" s="82"/>
      <c r="D47" s="10" t="s">
        <v>250</v>
      </c>
      <c r="E47" s="58" t="s">
        <v>398</v>
      </c>
      <c r="F47" s="10" t="s">
        <v>399</v>
      </c>
      <c r="G47" s="10" t="s">
        <v>400</v>
      </c>
      <c r="H47" s="15" t="s">
        <v>408</v>
      </c>
      <c r="I47" s="58" t="s">
        <v>256</v>
      </c>
      <c r="J47" s="58" t="s">
        <v>256</v>
      </c>
      <c r="K47" s="62" t="s">
        <v>25</v>
      </c>
    </row>
    <row r="48" spans="2:13" ht="285.95">
      <c r="B48" s="81"/>
      <c r="C48" s="82"/>
      <c r="D48" s="10" t="s">
        <v>250</v>
      </c>
      <c r="E48" s="51" t="s">
        <v>423</v>
      </c>
      <c r="F48" s="15" t="s">
        <v>424</v>
      </c>
      <c r="G48" s="15" t="s">
        <v>425</v>
      </c>
      <c r="H48" s="15" t="s">
        <v>426</v>
      </c>
      <c r="I48" s="58" t="s">
        <v>256</v>
      </c>
      <c r="J48" s="58" t="s">
        <v>256</v>
      </c>
      <c r="K48" s="62" t="s">
        <v>25</v>
      </c>
    </row>
    <row r="49" spans="2:12" ht="168.95">
      <c r="B49" s="81"/>
      <c r="C49" s="82"/>
      <c r="D49" s="10" t="s">
        <v>250</v>
      </c>
      <c r="E49" s="58" t="s">
        <v>427</v>
      </c>
      <c r="F49" s="24" t="s">
        <v>428</v>
      </c>
      <c r="G49" s="15" t="s">
        <v>429</v>
      </c>
      <c r="H49" s="15" t="s">
        <v>408</v>
      </c>
      <c r="I49" s="58" t="s">
        <v>256</v>
      </c>
      <c r="J49" s="58" t="s">
        <v>256</v>
      </c>
      <c r="K49" s="62" t="s">
        <v>25</v>
      </c>
    </row>
    <row r="50" spans="2:12" ht="156">
      <c r="B50" s="81"/>
      <c r="C50" s="82"/>
      <c r="D50" s="10" t="s">
        <v>250</v>
      </c>
      <c r="E50" s="51" t="s">
        <v>430</v>
      </c>
      <c r="F50" s="24" t="s">
        <v>431</v>
      </c>
      <c r="G50" s="15" t="s">
        <v>432</v>
      </c>
      <c r="H50" s="15" t="s">
        <v>408</v>
      </c>
      <c r="I50" s="58" t="s">
        <v>256</v>
      </c>
      <c r="J50" s="58" t="s">
        <v>256</v>
      </c>
      <c r="K50" s="62" t="s">
        <v>25</v>
      </c>
    </row>
    <row r="51" spans="2:12" ht="129.94999999999999">
      <c r="B51" s="81"/>
      <c r="C51" s="82"/>
      <c r="D51" s="10" t="s">
        <v>250</v>
      </c>
      <c r="E51" s="58" t="s">
        <v>433</v>
      </c>
      <c r="F51" s="24" t="s">
        <v>434</v>
      </c>
      <c r="G51" s="15" t="s">
        <v>435</v>
      </c>
      <c r="H51" s="15" t="s">
        <v>408</v>
      </c>
      <c r="I51" s="58" t="s">
        <v>256</v>
      </c>
      <c r="J51" s="58" t="s">
        <v>256</v>
      </c>
      <c r="K51" s="62" t="s">
        <v>25</v>
      </c>
    </row>
    <row r="52" spans="2:12" ht="104.1">
      <c r="B52" s="81"/>
      <c r="C52" s="82"/>
      <c r="D52" s="10" t="s">
        <v>250</v>
      </c>
      <c r="E52" s="51" t="s">
        <v>436</v>
      </c>
      <c r="F52" s="24" t="s">
        <v>437</v>
      </c>
      <c r="G52" s="15" t="s">
        <v>438</v>
      </c>
      <c r="H52" s="15" t="s">
        <v>408</v>
      </c>
      <c r="I52" s="58" t="s">
        <v>256</v>
      </c>
      <c r="J52" s="58" t="s">
        <v>256</v>
      </c>
      <c r="K52" s="62" t="s">
        <v>25</v>
      </c>
    </row>
    <row r="53" spans="2:12" ht="234">
      <c r="B53" s="81"/>
      <c r="C53" s="82"/>
      <c r="D53" s="10" t="s">
        <v>250</v>
      </c>
      <c r="E53" s="58" t="s">
        <v>439</v>
      </c>
      <c r="F53" s="15" t="s">
        <v>440</v>
      </c>
      <c r="G53" s="15" t="s">
        <v>441</v>
      </c>
      <c r="H53" s="15" t="s">
        <v>442</v>
      </c>
      <c r="I53" s="58" t="s">
        <v>256</v>
      </c>
      <c r="J53" s="58" t="s">
        <v>256</v>
      </c>
      <c r="K53" s="62" t="s">
        <v>25</v>
      </c>
    </row>
    <row r="54" spans="2:12" ht="182.45">
      <c r="B54" s="81"/>
      <c r="C54" s="82"/>
      <c r="D54" s="10" t="s">
        <v>250</v>
      </c>
      <c r="E54" s="51" t="s">
        <v>443</v>
      </c>
      <c r="F54" s="63" t="s">
        <v>444</v>
      </c>
      <c r="G54" s="16" t="s">
        <v>445</v>
      </c>
      <c r="H54" s="15" t="s">
        <v>446</v>
      </c>
      <c r="I54" s="58" t="s">
        <v>256</v>
      </c>
      <c r="J54" s="58" t="s">
        <v>256</v>
      </c>
      <c r="K54" s="62" t="s">
        <v>25</v>
      </c>
    </row>
    <row r="55" spans="2:12" ht="299.10000000000002">
      <c r="B55" s="90" t="s">
        <v>447</v>
      </c>
      <c r="C55" s="83" t="s">
        <v>448</v>
      </c>
      <c r="D55" s="38" t="s">
        <v>250</v>
      </c>
      <c r="E55" s="64" t="s">
        <v>375</v>
      </c>
      <c r="F55" s="65" t="s">
        <v>376</v>
      </c>
      <c r="G55" s="10" t="s">
        <v>449</v>
      </c>
      <c r="H55" s="10" t="s">
        <v>450</v>
      </c>
      <c r="I55" s="58" t="s">
        <v>256</v>
      </c>
      <c r="J55" s="58" t="s">
        <v>256</v>
      </c>
      <c r="K55" s="62" t="s">
        <v>25</v>
      </c>
    </row>
    <row r="56" spans="2:12" ht="351">
      <c r="B56" s="91"/>
      <c r="C56" s="83"/>
      <c r="D56" s="10" t="s">
        <v>250</v>
      </c>
      <c r="E56" s="64" t="s">
        <v>379</v>
      </c>
      <c r="F56" s="65" t="s">
        <v>380</v>
      </c>
      <c r="G56" s="10" t="s">
        <v>451</v>
      </c>
      <c r="H56" s="10" t="s">
        <v>382</v>
      </c>
      <c r="I56" s="58" t="s">
        <v>256</v>
      </c>
      <c r="J56" s="58" t="s">
        <v>256</v>
      </c>
      <c r="K56" s="62" t="s">
        <v>25</v>
      </c>
    </row>
    <row r="57" spans="2:12" ht="285.95">
      <c r="B57" s="91"/>
      <c r="C57" s="83"/>
      <c r="D57" s="10" t="s">
        <v>250</v>
      </c>
      <c r="E57" s="64" t="s">
        <v>384</v>
      </c>
      <c r="F57" s="65" t="s">
        <v>385</v>
      </c>
      <c r="G57" s="10" t="s">
        <v>452</v>
      </c>
      <c r="H57" s="10" t="s">
        <v>382</v>
      </c>
      <c r="I57" s="58" t="s">
        <v>256</v>
      </c>
      <c r="J57" s="58" t="s">
        <v>256</v>
      </c>
      <c r="K57" s="62" t="s">
        <v>25</v>
      </c>
    </row>
    <row r="58" spans="2:12" ht="221.1">
      <c r="B58" s="91"/>
      <c r="C58" s="83"/>
      <c r="D58" s="10" t="s">
        <v>224</v>
      </c>
      <c r="E58" s="64" t="s">
        <v>387</v>
      </c>
      <c r="F58" s="65" t="s">
        <v>388</v>
      </c>
      <c r="G58" s="10" t="s">
        <v>453</v>
      </c>
      <c r="H58" s="10" t="s">
        <v>256</v>
      </c>
      <c r="I58" s="58" t="s">
        <v>256</v>
      </c>
      <c r="J58" s="58" t="s">
        <v>256</v>
      </c>
      <c r="K58" s="62" t="s">
        <v>25</v>
      </c>
    </row>
    <row r="59" spans="2:12" ht="246.95">
      <c r="B59" s="91"/>
      <c r="C59" s="83"/>
      <c r="D59" s="10" t="s">
        <v>224</v>
      </c>
      <c r="E59" s="39" t="s">
        <v>398</v>
      </c>
      <c r="F59" s="15" t="s">
        <v>454</v>
      </c>
      <c r="G59" s="10" t="s">
        <v>455</v>
      </c>
      <c r="H59" s="10" t="s">
        <v>456</v>
      </c>
      <c r="I59" s="58" t="s">
        <v>256</v>
      </c>
      <c r="J59" s="58" t="s">
        <v>256</v>
      </c>
      <c r="K59" s="62" t="s">
        <v>25</v>
      </c>
    </row>
    <row r="60" spans="2:12" ht="143.1">
      <c r="B60" s="91"/>
      <c r="C60" s="83"/>
      <c r="D60" s="10" t="s">
        <v>250</v>
      </c>
      <c r="E60" s="64" t="s">
        <v>394</v>
      </c>
      <c r="F60" s="65" t="s">
        <v>395</v>
      </c>
      <c r="G60" s="10" t="s">
        <v>457</v>
      </c>
      <c r="H60" s="48" t="s">
        <v>397</v>
      </c>
      <c r="I60" s="58" t="s">
        <v>256</v>
      </c>
      <c r="J60" s="58" t="s">
        <v>256</v>
      </c>
      <c r="K60" s="62" t="s">
        <v>25</v>
      </c>
    </row>
    <row r="61" spans="2:12" ht="156">
      <c r="B61" s="91"/>
      <c r="C61" s="83"/>
      <c r="D61" s="10" t="s">
        <v>250</v>
      </c>
      <c r="E61" s="39" t="s">
        <v>417</v>
      </c>
      <c r="F61" s="10" t="s">
        <v>418</v>
      </c>
      <c r="G61" s="10" t="s">
        <v>458</v>
      </c>
      <c r="H61" s="10" t="s">
        <v>459</v>
      </c>
      <c r="I61" s="58" t="s">
        <v>256</v>
      </c>
      <c r="J61" s="58" t="s">
        <v>256</v>
      </c>
      <c r="K61" s="62" t="s">
        <v>25</v>
      </c>
    </row>
    <row r="62" spans="2:12" ht="325.5">
      <c r="B62" s="91"/>
      <c r="C62" s="83"/>
      <c r="D62" s="40" t="s">
        <v>250</v>
      </c>
      <c r="E62" s="71" t="s">
        <v>420</v>
      </c>
      <c r="F62" s="72" t="s">
        <v>460</v>
      </c>
      <c r="G62" s="70" t="s">
        <v>461</v>
      </c>
      <c r="H62" s="77" t="s">
        <v>462</v>
      </c>
      <c r="I62" s="70" t="s">
        <v>463</v>
      </c>
      <c r="J62" s="78" t="s">
        <v>256</v>
      </c>
      <c r="K62" s="71" t="s">
        <v>25</v>
      </c>
    </row>
    <row r="63" spans="2:12" ht="299.45">
      <c r="B63" s="91"/>
      <c r="C63" s="83"/>
      <c r="D63" s="40" t="s">
        <v>250</v>
      </c>
      <c r="E63" s="71" t="s">
        <v>464</v>
      </c>
      <c r="F63" s="72" t="s">
        <v>465</v>
      </c>
      <c r="G63" s="70" t="s">
        <v>466</v>
      </c>
      <c r="H63" s="77" t="s">
        <v>467</v>
      </c>
      <c r="I63" s="78" t="s">
        <v>256</v>
      </c>
      <c r="J63" s="78" t="s">
        <v>256</v>
      </c>
      <c r="K63" s="71" t="s">
        <v>25</v>
      </c>
    </row>
    <row r="64" spans="2:12" ht="312.60000000000002">
      <c r="B64" s="91"/>
      <c r="C64" s="83"/>
      <c r="D64" s="40" t="s">
        <v>250</v>
      </c>
      <c r="E64" s="71" t="s">
        <v>423</v>
      </c>
      <c r="F64" s="72" t="s">
        <v>468</v>
      </c>
      <c r="G64" s="70" t="s">
        <v>469</v>
      </c>
      <c r="H64" s="77" t="s">
        <v>470</v>
      </c>
      <c r="I64" s="70" t="s">
        <v>471</v>
      </c>
      <c r="J64" s="78" t="s">
        <v>256</v>
      </c>
      <c r="K64" s="71" t="s">
        <v>25</v>
      </c>
      <c r="L64" s="27"/>
    </row>
    <row r="65" spans="2:12" ht="234.6">
      <c r="B65" s="91"/>
      <c r="C65" s="83"/>
      <c r="D65" s="40" t="s">
        <v>250</v>
      </c>
      <c r="E65" s="71" t="s">
        <v>427</v>
      </c>
      <c r="F65" s="72" t="s">
        <v>472</v>
      </c>
      <c r="G65" s="70" t="s">
        <v>473</v>
      </c>
      <c r="H65" s="78" t="s">
        <v>256</v>
      </c>
      <c r="I65" s="78" t="s">
        <v>256</v>
      </c>
      <c r="J65" s="78" t="s">
        <v>256</v>
      </c>
      <c r="K65" s="71" t="s">
        <v>25</v>
      </c>
      <c r="L65" s="27"/>
    </row>
    <row r="66" spans="2:12" ht="351.6">
      <c r="B66" s="91"/>
      <c r="C66" s="83"/>
      <c r="D66" s="40" t="s">
        <v>250</v>
      </c>
      <c r="E66" s="71" t="s">
        <v>430</v>
      </c>
      <c r="F66" s="72" t="s">
        <v>474</v>
      </c>
      <c r="G66" s="70" t="s">
        <v>475</v>
      </c>
      <c r="H66" s="78" t="s">
        <v>256</v>
      </c>
      <c r="I66" s="78" t="s">
        <v>256</v>
      </c>
      <c r="J66" s="78" t="s">
        <v>256</v>
      </c>
      <c r="K66" s="71" t="s">
        <v>25</v>
      </c>
    </row>
    <row r="67" spans="2:12" ht="260.45">
      <c r="B67" s="91"/>
      <c r="C67" s="83"/>
      <c r="D67" s="40" t="s">
        <v>250</v>
      </c>
      <c r="E67" s="71" t="s">
        <v>433</v>
      </c>
      <c r="F67" s="72" t="s">
        <v>476</v>
      </c>
      <c r="G67" s="70" t="s">
        <v>477</v>
      </c>
      <c r="H67" s="77" t="s">
        <v>470</v>
      </c>
      <c r="I67" s="70" t="s">
        <v>478</v>
      </c>
      <c r="J67" s="78" t="s">
        <v>256</v>
      </c>
      <c r="K67" s="71" t="s">
        <v>25</v>
      </c>
    </row>
    <row r="68" spans="2:12" ht="234.6">
      <c r="B68" s="91"/>
      <c r="C68" s="83"/>
      <c r="D68" s="40" t="s">
        <v>250</v>
      </c>
      <c r="E68" s="71" t="s">
        <v>436</v>
      </c>
      <c r="F68" s="72" t="s">
        <v>479</v>
      </c>
      <c r="G68" s="70" t="s">
        <v>480</v>
      </c>
      <c r="H68" s="78" t="s">
        <v>256</v>
      </c>
      <c r="I68" s="78" t="s">
        <v>256</v>
      </c>
      <c r="J68" s="78" t="s">
        <v>256</v>
      </c>
      <c r="K68" s="71" t="s">
        <v>25</v>
      </c>
    </row>
    <row r="69" spans="2:12" ht="247.5">
      <c r="B69" s="91"/>
      <c r="C69" s="83"/>
      <c r="D69" s="40" t="s">
        <v>250</v>
      </c>
      <c r="E69" s="71" t="s">
        <v>439</v>
      </c>
      <c r="F69" s="72" t="s">
        <v>481</v>
      </c>
      <c r="G69" s="70" t="s">
        <v>482</v>
      </c>
      <c r="H69" s="78" t="s">
        <v>256</v>
      </c>
      <c r="I69" s="78" t="s">
        <v>256</v>
      </c>
      <c r="J69" s="78" t="s">
        <v>256</v>
      </c>
      <c r="K69" s="71" t="s">
        <v>25</v>
      </c>
    </row>
    <row r="70" spans="2:12" ht="221.45">
      <c r="B70" s="91"/>
      <c r="C70" s="83"/>
      <c r="D70" s="40" t="s">
        <v>250</v>
      </c>
      <c r="E70" s="71" t="s">
        <v>443</v>
      </c>
      <c r="F70" s="72" t="s">
        <v>483</v>
      </c>
      <c r="G70" s="70" t="s">
        <v>484</v>
      </c>
      <c r="H70" s="78" t="s">
        <v>256</v>
      </c>
      <c r="I70" s="78" t="s">
        <v>256</v>
      </c>
      <c r="J70" s="78" t="s">
        <v>256</v>
      </c>
      <c r="K70" s="71" t="s">
        <v>25</v>
      </c>
    </row>
    <row r="71" spans="2:12" ht="234.6">
      <c r="B71" s="91"/>
      <c r="C71" s="83"/>
      <c r="D71" s="40" t="s">
        <v>250</v>
      </c>
      <c r="E71" s="71" t="s">
        <v>485</v>
      </c>
      <c r="F71" s="72" t="s">
        <v>486</v>
      </c>
      <c r="G71" s="70" t="s">
        <v>487</v>
      </c>
      <c r="H71" s="77" t="s">
        <v>488</v>
      </c>
      <c r="I71" s="70" t="s">
        <v>478</v>
      </c>
      <c r="J71" s="78" t="s">
        <v>256</v>
      </c>
      <c r="K71" s="71" t="s">
        <v>25</v>
      </c>
    </row>
    <row r="72" spans="2:12" ht="338.45">
      <c r="B72" s="91"/>
      <c r="C72" s="66"/>
      <c r="D72" s="40" t="s">
        <v>250</v>
      </c>
      <c r="E72" s="71" t="s">
        <v>489</v>
      </c>
      <c r="F72" s="72" t="s">
        <v>490</v>
      </c>
      <c r="G72" s="70" t="s">
        <v>491</v>
      </c>
      <c r="H72" s="77" t="s">
        <v>492</v>
      </c>
      <c r="I72" s="78" t="s">
        <v>256</v>
      </c>
      <c r="J72" s="78" t="s">
        <v>256</v>
      </c>
      <c r="K72" s="71" t="s">
        <v>25</v>
      </c>
    </row>
    <row r="73" spans="2:12" ht="351.6">
      <c r="B73" s="91"/>
      <c r="C73" s="66"/>
      <c r="D73" s="40" t="s">
        <v>250</v>
      </c>
      <c r="E73" s="71" t="s">
        <v>493</v>
      </c>
      <c r="F73" s="72" t="s">
        <v>494</v>
      </c>
      <c r="G73" s="70" t="s">
        <v>495</v>
      </c>
      <c r="H73" s="77" t="s">
        <v>492</v>
      </c>
      <c r="I73" s="78" t="s">
        <v>256</v>
      </c>
      <c r="J73" s="78" t="s">
        <v>256</v>
      </c>
      <c r="K73" s="71" t="s">
        <v>25</v>
      </c>
    </row>
    <row r="74" spans="2:12" ht="338.45">
      <c r="B74" s="92"/>
      <c r="C74" s="66"/>
      <c r="D74" s="40" t="s">
        <v>250</v>
      </c>
      <c r="E74" s="71" t="s">
        <v>496</v>
      </c>
      <c r="F74" s="72" t="s">
        <v>497</v>
      </c>
      <c r="G74" s="70" t="s">
        <v>498</v>
      </c>
      <c r="H74" s="77" t="s">
        <v>492</v>
      </c>
      <c r="I74" s="78" t="s">
        <v>256</v>
      </c>
      <c r="J74" s="78" t="s">
        <v>256</v>
      </c>
      <c r="K74" s="71" t="s">
        <v>25</v>
      </c>
    </row>
    <row r="75" spans="2:12">
      <c r="D75" s="73"/>
      <c r="E75" s="74"/>
      <c r="F75" s="75"/>
      <c r="G75" s="76"/>
      <c r="H75" s="76"/>
      <c r="I75" s="76"/>
      <c r="J75" s="76"/>
      <c r="K75" s="73"/>
    </row>
  </sheetData>
  <autoFilter ref="B1:M74" xr:uid="{6A02C7C6-4F4D-4220-93FE-E15557F4CB3C}"/>
  <mergeCells count="15">
    <mergeCell ref="B25:B32"/>
    <mergeCell ref="C25:C32"/>
    <mergeCell ref="E24:F24"/>
    <mergeCell ref="B2:B7"/>
    <mergeCell ref="C2:C7"/>
    <mergeCell ref="B8:B14"/>
    <mergeCell ref="C8:C14"/>
    <mergeCell ref="B15:B24"/>
    <mergeCell ref="C15:C24"/>
    <mergeCell ref="B42:B54"/>
    <mergeCell ref="C42:C54"/>
    <mergeCell ref="C55:C71"/>
    <mergeCell ref="B33:B41"/>
    <mergeCell ref="C33:C41"/>
    <mergeCell ref="B55:B74"/>
  </mergeCells>
  <phoneticPr fontId="1" type="noConversion"/>
  <pageMargins left="0.7" right="0.7" top="0.75" bottom="0.75" header="0.3" footer="0.3"/>
  <pageSetup orientation="portrait" r:id="rId1"/>
  <headerFooter>
    <oddFooter>&amp;L2/24/2025&amp;CAXP Internal&amp;R6</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A14E97BC35EB44B2F7FB3CC2E9C90D" ma:contentTypeVersion="5" ma:contentTypeDescription="Create a new document." ma:contentTypeScope="" ma:versionID="7374153949878f980dc9cb8a94f1cf8c">
  <xsd:schema xmlns:xsd="http://www.w3.org/2001/XMLSchema" xmlns:xs="http://www.w3.org/2001/XMLSchema" xmlns:p="http://schemas.microsoft.com/office/2006/metadata/properties" xmlns:ns2="d4e4077e-76a5-46ee-85c9-5d65beff99c3" targetNamespace="http://schemas.microsoft.com/office/2006/metadata/properties" ma:root="true" ma:fieldsID="b5839436426be9c698da0cdbc80754af" ns2:_="">
    <xsd:import namespace="d4e4077e-76a5-46ee-85c9-5d65beff99c3"/>
    <xsd:element name="properties">
      <xsd:complexType>
        <xsd:sequence>
          <xsd:element name="documentManagement">
            <xsd:complexType>
              <xsd:all>
                <xsd:element ref="ns2:Open_x0020_with_x0020_Seclore" minOccurs="0"/>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e4077e-76a5-46ee-85c9-5d65beff99c3" elementFormDefault="qualified">
    <xsd:import namespace="http://schemas.microsoft.com/office/2006/documentManagement/types"/>
    <xsd:import namespace="http://schemas.microsoft.com/office/infopath/2007/PartnerControls"/>
    <xsd:element name="Open_x0020_with_x0020_Seclore" ma:index="8" nillable="true" ma:displayName="Open with Seclore" ma:hidden="true" ma:internalName="Open_x0020_with_x0020_Seclor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Open_x0020_with_x0020_Seclore xmlns="d4e4077e-76a5-46ee-85c9-5d65beff99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5B71BE-297A-4926-8CE6-03D0E789544A}"/>
</file>

<file path=customXml/itemProps2.xml><?xml version="1.0" encoding="utf-8"?>
<ds:datastoreItem xmlns:ds="http://schemas.openxmlformats.org/officeDocument/2006/customXml" ds:itemID="{D663194C-804E-4BEA-BEF7-AFB0D0417A22}"/>
</file>

<file path=customXml/itemProps3.xml><?xml version="1.0" encoding="utf-8"?>
<ds:datastoreItem xmlns:ds="http://schemas.openxmlformats.org/officeDocument/2006/customXml" ds:itemID="{05BA19A3-78C8-4DFE-9471-061BA9EF2500}"/>
</file>

<file path=docMetadata/LabelInfo.xml><?xml version="1.0" encoding="utf-8"?>
<clbl:labelList xmlns:clbl="http://schemas.microsoft.com/office/2020/mipLabelMetadata">
  <clbl:label id="{8158f467-f592-4f68-b205-41e7c092277d}" enabled="1" method="Standard" siteId="{66295b3b-c4fd-41af-a077-c0ec2a40e369}"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Suyog Vinod Pitale</dc:creator>
  <cp:keywords/>
  <dc:description/>
  <cp:lastModifiedBy/>
  <cp:revision/>
  <dcterms:created xsi:type="dcterms:W3CDTF">2024-08-06T12:55:12Z</dcterms:created>
  <dcterms:modified xsi:type="dcterms:W3CDTF">2026-03-07T14:54:06Z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XPAuthor">
    <vt:lpwstr>Suyog Vinod Pitale</vt:lpwstr>
  </property>
  <property fmtid="{D5CDD505-2E9C-101B-9397-08002B2CF9AE}" pid="3" name="AXPDataClassification">
    <vt:lpwstr>AXP Internal</vt:lpwstr>
  </property>
  <property fmtid="{D5CDD505-2E9C-101B-9397-08002B2CF9AE}" pid="4" name="AXPDataClassificationForSearch">
    <vt:lpwstr>AXPInternal_UniqueSearchString</vt:lpwstr>
  </property>
  <property fmtid="{D5CDD505-2E9C-101B-9397-08002B2CF9AE}" pid="5" name="ContentTypeId">
    <vt:lpwstr>0x01010023A14E97BC35EB44B2F7FB3CC2E9C90D</vt:lpwstr>
  </property>
</Properties>
</file>